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https://d.docs.live.net/72feb5a4d0d91f7b/Desktop/Data Analytics Excel Projects/"/>
    </mc:Choice>
  </mc:AlternateContent>
  <xr:revisionPtr revIDLastSave="5" documentId="8_{CEEF3528-203A-4B89-ADFC-F46752D06424}" xr6:coauthVersionLast="47" xr6:coauthVersionMax="47" xr10:uidLastSave="{CFEDFDCE-84CD-4010-9E36-754EC302E13B}"/>
  <bookViews>
    <workbookView xWindow="-110" yWindow="-110" windowWidth="19420" windowHeight="10300" activeTab="2" xr2:uid="{346724B3-1C49-40AE-AA36-C77CF5D6DD09}"/>
  </bookViews>
  <sheets>
    <sheet name="Data" sheetId="1" r:id="rId1"/>
    <sheet name="pivot table" sheetId="5" r:id="rId2"/>
    <sheet name="dashboard" sheetId="6" r:id="rId3"/>
    <sheet name="pivot" sheetId="7" r:id="rId4"/>
    <sheet name="Questions &amp; KPIs" sheetId="2" r:id="rId5"/>
    <sheet name="Logo &amp; Colors" sheetId="4" state="hidden" r:id="rId6"/>
  </sheets>
  <definedNames>
    <definedName name="_xlchart.v5.0" hidden="1">'pivot table'!$R$38:$S$38</definedName>
    <definedName name="_xlchart.v5.1" hidden="1">'pivot table'!$R$39:$S$96</definedName>
    <definedName name="_xlchart.v5.10" hidden="1">'pivot table'!$T$38</definedName>
    <definedName name="_xlchart.v5.11" hidden="1">'pivot table'!$T$39:$T$96</definedName>
    <definedName name="_xlchart.v5.2" hidden="1">'pivot table'!$T$38</definedName>
    <definedName name="_xlchart.v5.3" hidden="1">'pivot table'!$T$39:$T$96</definedName>
    <definedName name="_xlchart.v5.4" hidden="1">'pivot table'!$N$38:$O$38</definedName>
    <definedName name="_xlchart.v5.5" hidden="1">'pivot table'!$N$39:$O$96</definedName>
    <definedName name="_xlchart.v5.6" hidden="1">'pivot table'!$P$38</definedName>
    <definedName name="_xlchart.v5.7" hidden="1">'pivot table'!$P$39:$P$96</definedName>
    <definedName name="_xlchart.v5.8" hidden="1">'pivot table'!$R$38:$S$38</definedName>
    <definedName name="_xlchart.v5.9" hidden="1">'pivot table'!$R$39:$S$96</definedName>
    <definedName name="Slicer_Gender_Value">#N/A</definedName>
    <definedName name="Slicer_Order_Mode">#N/A</definedName>
  </definedNames>
  <calcPr calcId="191029"/>
  <pivotCaches>
    <pivotCache cacheId="38"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39" i="5" l="1"/>
  <c r="N40" i="5"/>
  <c r="O40" i="5"/>
  <c r="P40" i="5"/>
  <c r="N41" i="5"/>
  <c r="O41" i="5"/>
  <c r="P41" i="5"/>
  <c r="N42" i="5"/>
  <c r="O42" i="5"/>
  <c r="P42" i="5"/>
  <c r="N43" i="5"/>
  <c r="O43" i="5"/>
  <c r="P43" i="5"/>
  <c r="N44" i="5"/>
  <c r="O44" i="5"/>
  <c r="P44" i="5"/>
  <c r="N45" i="5"/>
  <c r="O45" i="5"/>
  <c r="P45" i="5"/>
  <c r="N46" i="5"/>
  <c r="O46" i="5"/>
  <c r="P46" i="5"/>
  <c r="N47" i="5"/>
  <c r="O47" i="5"/>
  <c r="P47" i="5"/>
  <c r="N48" i="5"/>
  <c r="O48" i="5"/>
  <c r="P48" i="5"/>
  <c r="N49" i="5"/>
  <c r="O49" i="5"/>
  <c r="P49" i="5"/>
  <c r="N50" i="5"/>
  <c r="O50" i="5"/>
  <c r="P50" i="5"/>
  <c r="N51" i="5"/>
  <c r="O51" i="5"/>
  <c r="P51" i="5"/>
  <c r="N52" i="5"/>
  <c r="O52" i="5"/>
  <c r="P52" i="5"/>
  <c r="N53" i="5"/>
  <c r="O53" i="5"/>
  <c r="P53" i="5"/>
  <c r="N54" i="5"/>
  <c r="O54" i="5"/>
  <c r="P54" i="5"/>
  <c r="N55" i="5"/>
  <c r="O55" i="5"/>
  <c r="P55" i="5"/>
  <c r="N56" i="5"/>
  <c r="O56" i="5"/>
  <c r="P56" i="5"/>
  <c r="N57" i="5"/>
  <c r="O57" i="5"/>
  <c r="P57" i="5"/>
  <c r="N58" i="5"/>
  <c r="O58" i="5"/>
  <c r="P58" i="5"/>
  <c r="N59" i="5"/>
  <c r="O59" i="5"/>
  <c r="P59" i="5"/>
  <c r="N60" i="5"/>
  <c r="O60" i="5"/>
  <c r="P60" i="5"/>
  <c r="N61" i="5"/>
  <c r="O61" i="5"/>
  <c r="P61" i="5"/>
  <c r="N62" i="5"/>
  <c r="O62" i="5"/>
  <c r="P62" i="5"/>
  <c r="N63" i="5"/>
  <c r="O63" i="5"/>
  <c r="P63" i="5"/>
  <c r="N64" i="5"/>
  <c r="O64" i="5"/>
  <c r="P64" i="5"/>
  <c r="N65" i="5"/>
  <c r="O65" i="5"/>
  <c r="P65" i="5"/>
  <c r="N66" i="5"/>
  <c r="O66" i="5"/>
  <c r="P66" i="5"/>
  <c r="N67" i="5"/>
  <c r="O67" i="5"/>
  <c r="P67" i="5"/>
  <c r="N68" i="5"/>
  <c r="O68" i="5"/>
  <c r="P68" i="5"/>
  <c r="N69" i="5"/>
  <c r="O69" i="5"/>
  <c r="P69" i="5"/>
  <c r="N70" i="5"/>
  <c r="O70" i="5"/>
  <c r="P70" i="5"/>
  <c r="N71" i="5"/>
  <c r="O71" i="5"/>
  <c r="P71" i="5"/>
  <c r="N72" i="5"/>
  <c r="O72" i="5"/>
  <c r="P72" i="5"/>
  <c r="O39" i="5"/>
  <c r="P39" i="5"/>
  <c r="R39" i="5"/>
  <c r="N39" i="5"/>
  <c r="K4" i="5"/>
  <c r="H4" i="5"/>
  <c r="I4" i="5"/>
  <c r="J4" i="5"/>
  <c r="T40" i="5"/>
  <c r="T41" i="5"/>
  <c r="T42" i="5"/>
  <c r="T43" i="5"/>
  <c r="T44" i="5"/>
  <c r="T45" i="5"/>
  <c r="T46" i="5"/>
  <c r="T47" i="5"/>
  <c r="T48" i="5"/>
  <c r="T49" i="5"/>
  <c r="T50" i="5"/>
  <c r="T51" i="5"/>
  <c r="T52" i="5"/>
  <c r="T53" i="5"/>
  <c r="T54" i="5"/>
  <c r="T55" i="5"/>
  <c r="T56" i="5"/>
  <c r="T57" i="5"/>
  <c r="T58" i="5"/>
  <c r="T59" i="5"/>
  <c r="T60" i="5"/>
  <c r="T61" i="5"/>
  <c r="T62" i="5"/>
  <c r="T63" i="5"/>
  <c r="T64" i="5"/>
  <c r="T65" i="5"/>
  <c r="T66" i="5"/>
  <c r="T67" i="5"/>
  <c r="T68" i="5"/>
  <c r="T69" i="5"/>
  <c r="T70" i="5"/>
  <c r="T71" i="5"/>
  <c r="T72" i="5"/>
  <c r="T73" i="5"/>
  <c r="T74" i="5"/>
  <c r="T75" i="5"/>
  <c r="T76" i="5"/>
  <c r="T77" i="5"/>
  <c r="T78" i="5"/>
  <c r="T79" i="5"/>
  <c r="T80" i="5"/>
  <c r="T81" i="5"/>
  <c r="T82" i="5"/>
  <c r="T83" i="5"/>
  <c r="T84" i="5"/>
  <c r="T85" i="5"/>
  <c r="T86" i="5"/>
  <c r="T87" i="5"/>
  <c r="T88" i="5"/>
  <c r="T89" i="5"/>
  <c r="T90" i="5"/>
  <c r="T91" i="5"/>
  <c r="T92" i="5"/>
  <c r="T93" i="5"/>
  <c r="T94" i="5"/>
  <c r="T95" i="5"/>
  <c r="T96" i="5"/>
  <c r="T39" i="5"/>
  <c r="R40" i="5" a="1"/>
  <c r="R40" i="5" s="1"/>
  <c r="R41" i="5" a="1"/>
  <c r="R41" i="5" s="1"/>
  <c r="R42" i="5" a="1"/>
  <c r="R42" i="5" s="1"/>
  <c r="R43" i="5" a="1"/>
  <c r="R43" i="5" s="1"/>
  <c r="R44" i="5" a="1"/>
  <c r="R44" i="5" s="1"/>
  <c r="R45" i="5" a="1"/>
  <c r="R45" i="5" s="1"/>
  <c r="R46" i="5" a="1"/>
  <c r="R46" i="5" s="1"/>
  <c r="R47" i="5" a="1"/>
  <c r="R47" i="5" s="1"/>
  <c r="R48" i="5" a="1"/>
  <c r="R48" i="5" s="1"/>
  <c r="R49" i="5" a="1"/>
  <c r="R49" i="5" s="1"/>
  <c r="R50" i="5" a="1"/>
  <c r="R50" i="5" s="1"/>
  <c r="R51" i="5" a="1"/>
  <c r="R51" i="5" s="1"/>
  <c r="R52" i="5" a="1"/>
  <c r="R52" i="5" s="1"/>
  <c r="R53" i="5" a="1"/>
  <c r="R53" i="5" s="1"/>
  <c r="R54" i="5" a="1"/>
  <c r="R54" i="5" s="1"/>
  <c r="R55" i="5" a="1"/>
  <c r="R55" i="5" s="1"/>
  <c r="R56" i="5" a="1"/>
  <c r="R56" i="5" s="1"/>
  <c r="R57" i="5" a="1"/>
  <c r="R57" i="5" s="1"/>
  <c r="R58" i="5" a="1"/>
  <c r="R58" i="5" s="1"/>
  <c r="R59" i="5" a="1"/>
  <c r="R59" i="5" s="1"/>
  <c r="R60" i="5" a="1"/>
  <c r="R60" i="5" s="1"/>
  <c r="R61" i="5" a="1"/>
  <c r="R61" i="5" s="1"/>
  <c r="R62" i="5" a="1"/>
  <c r="R62" i="5" s="1"/>
  <c r="R63" i="5" a="1"/>
  <c r="R63" i="5" s="1"/>
  <c r="R64" i="5" a="1"/>
  <c r="R64" i="5" s="1"/>
  <c r="R65" i="5" a="1"/>
  <c r="R65" i="5" s="1"/>
  <c r="R66" i="5" a="1"/>
  <c r="R66" i="5" s="1"/>
  <c r="R67" i="5" a="1"/>
  <c r="R67" i="5" s="1"/>
  <c r="R68" i="5" a="1"/>
  <c r="R68" i="5" s="1"/>
  <c r="R69" i="5" a="1"/>
  <c r="R69" i="5" s="1"/>
  <c r="R70" i="5" a="1"/>
  <c r="R70" i="5" s="1"/>
  <c r="R71" i="5" a="1"/>
  <c r="R71" i="5" s="1"/>
  <c r="R72" i="5" a="1"/>
  <c r="R72" i="5" s="1"/>
  <c r="R73" i="5" a="1"/>
  <c r="R73" i="5" s="1"/>
  <c r="R74" i="5" a="1"/>
  <c r="R74" i="5" s="1"/>
  <c r="R75" i="5" a="1"/>
  <c r="R75" i="5" s="1"/>
  <c r="R76" i="5" a="1"/>
  <c r="R76" i="5" s="1"/>
  <c r="R77" i="5" a="1"/>
  <c r="R77" i="5" s="1"/>
  <c r="R78" i="5" a="1"/>
  <c r="R78" i="5" s="1"/>
  <c r="R79" i="5" a="1"/>
  <c r="R79" i="5" s="1"/>
  <c r="R80" i="5" a="1"/>
  <c r="R80" i="5" s="1"/>
  <c r="R81" i="5" a="1"/>
  <c r="R81" i="5" s="1"/>
  <c r="R82" i="5" a="1"/>
  <c r="R82" i="5" s="1"/>
  <c r="R83" i="5" a="1"/>
  <c r="R83" i="5" s="1"/>
  <c r="R84" i="5" a="1"/>
  <c r="R84" i="5" s="1"/>
  <c r="R85" i="5" a="1"/>
  <c r="R85" i="5" s="1"/>
  <c r="R86" i="5" a="1"/>
  <c r="R86" i="5" s="1"/>
  <c r="R87" i="5" a="1"/>
  <c r="R87" i="5" s="1"/>
  <c r="R88" i="5" a="1"/>
  <c r="R88" i="5" s="1"/>
  <c r="R89" i="5" a="1"/>
  <c r="R89" i="5" s="1"/>
  <c r="R90" i="5" a="1"/>
  <c r="R90" i="5" s="1"/>
  <c r="R91" i="5" a="1"/>
  <c r="R91" i="5" s="1"/>
  <c r="R92" i="5" a="1"/>
  <c r="R92" i="5" s="1"/>
  <c r="R93" i="5" a="1"/>
  <c r="R93" i="5" s="1"/>
  <c r="R94" i="5" a="1"/>
  <c r="R94" i="5" s="1"/>
  <c r="R95" i="5" a="1"/>
  <c r="R95" i="5" s="1"/>
  <c r="R96" i="5" a="1"/>
  <c r="R96" i="5" s="1"/>
  <c r="N73" i="5" a="1"/>
  <c r="N73" i="5" s="1"/>
  <c r="N74" i="5" a="1"/>
  <c r="N74" i="5" s="1"/>
  <c r="N75" i="5" a="1"/>
  <c r="N75" i="5" s="1"/>
  <c r="N76" i="5" a="1"/>
  <c r="N76" i="5" s="1"/>
  <c r="N77" i="5" a="1"/>
  <c r="N77" i="5" s="1"/>
  <c r="N78" i="5" a="1"/>
  <c r="N78" i="5" s="1"/>
  <c r="N79" i="5" a="1"/>
  <c r="N79" i="5" s="1"/>
  <c r="N80" i="5" a="1"/>
  <c r="N80" i="5" s="1"/>
  <c r="N81" i="5" a="1"/>
  <c r="N81" i="5" s="1"/>
  <c r="N82" i="5" a="1"/>
  <c r="N82" i="5" s="1"/>
  <c r="N83" i="5" a="1"/>
  <c r="N83" i="5" s="1"/>
  <c r="N84" i="5" a="1"/>
  <c r="N84" i="5" s="1"/>
  <c r="N85" i="5" a="1"/>
  <c r="N85" i="5" s="1"/>
  <c r="N86" i="5" a="1"/>
  <c r="N86" i="5" s="1"/>
  <c r="N87" i="5" a="1"/>
  <c r="N87" i="5" s="1"/>
  <c r="N88" i="5" a="1"/>
  <c r="N88" i="5" s="1"/>
  <c r="N89" i="5" a="1"/>
  <c r="N89" i="5" s="1"/>
  <c r="N90" i="5" a="1"/>
  <c r="N90" i="5" s="1"/>
  <c r="N91" i="5" a="1"/>
  <c r="N91" i="5" s="1"/>
  <c r="N92" i="5" a="1"/>
  <c r="N92" i="5" s="1"/>
  <c r="N93" i="5" a="1"/>
  <c r="N93" i="5" s="1"/>
  <c r="N94" i="5" a="1"/>
  <c r="N94" i="5" s="1"/>
  <c r="N95" i="5" a="1"/>
  <c r="N95" i="5" s="1"/>
  <c r="N96" i="5" a="1"/>
  <c r="N96" i="5" s="1"/>
  <c r="I4" i="7"/>
  <c r="J4" i="7"/>
  <c r="K4" i="7"/>
  <c r="L4" i="7"/>
  <c r="H6" i="7" a="1"/>
  <c r="H6" i="7" s="1"/>
  <c r="H7" i="7" a="1"/>
  <c r="H7" i="7" s="1"/>
  <c r="H8" i="7" a="1"/>
  <c r="H8" i="7" s="1"/>
  <c r="H9" i="7" a="1"/>
  <c r="H9" i="7" s="1"/>
  <c r="H5" i="7" a="1"/>
  <c r="H5" i="7" s="1"/>
  <c r="G4"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<sst xmlns="http://schemas.openxmlformats.org/spreadsheetml/2006/main" count="14690" uniqueCount="2585">
  <si>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</si>
  <si>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</si>
  <si>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</si>
  <si>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</si>
  <si>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</si>
  <si>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</si>
  <si>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</si>
  <si>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</si>
  <si>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</si>
  <si>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</si>
  <si>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</si>
  <si>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</si>
  <si>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</si>
  <si>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</si>
  <si>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</si>
  <si>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</si>
  <si>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</si>
  <si>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</si>
  <si>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</si>
  <si>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</si>
  <si>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</si>
  <si>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</si>
  <si>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</si>
  <si>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</si>
  <si>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</si>
  <si>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</si>
  <si>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</si>
  <si>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</si>
  <si>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</si>
  <si>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</si>
  <si>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</si>
  <si>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</si>
  <si>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</si>
  <si>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</si>
  <si>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</si>
  <si>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</si>
  <si>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</si>
  <si>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</si>
  <si>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</si>
  <si>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</si>
  <si>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</si>
  <si>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</si>
  <si>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</si>
  <si>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</si>
  <si>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</si>
  <si>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</si>
  <si>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</si>
  <si>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</si>
  <si>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</si>
  <si>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</si>
  <si>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</si>
  <si>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</si>
  <si>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</si>
  <si>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</si>
  <si>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</si>
  <si>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</si>
  <si>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</si>
  <si>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</si>
  <si>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</si>
  <si>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</si>
  <si>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</si>
  <si>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</si>
  <si>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</si>
  <si>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</si>
  <si>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</si>
  <si>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</si>
  <si>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</si>
  <si>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</si>
  <si>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</si>
  <si>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</si>
  <si>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</si>
  <si>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</si>
  <si>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</si>
  <si>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</si>
  <si>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</si>
  <si>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</si>
  <si>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</si>
  <si>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</si>
  <si>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</si>
  <si>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</si>
  <si>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</si>
  <si>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</si>
  <si>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</si>
  <si>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</si>
  <si>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</si>
  <si>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</si>
  <si>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</si>
  <si>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</si>
  <si>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</si>
  <si>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</si>
  <si>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</si>
  <si>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</si>
  <si>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</si>
  <si>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</si>
  <si>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</si>
  <si>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</si>
  <si>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</si>
  <si>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</si>
  <si>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</si>
  <si>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</si>
  <si>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</si>
  <si>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</si>
  <si>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</si>
  <si>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</si>
  <si>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</si>
  <si>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</si>
  <si>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</si>
  <si>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</si>
  <si>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</si>
  <si>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</si>
  <si>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</si>
  <si>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</si>
  <si>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</si>
  <si>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</si>
  <si>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</si>
  <si>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</si>
  <si>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</si>
  <si>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</si>
  <si>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</si>
  <si>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</si>
  <si>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</si>
  <si>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</si>
  <si>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</si>
  <si>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</si>
  <si>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</si>
  <si>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</si>
  <si>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</si>
  <si>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</si>
  <si>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</si>
  <si>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</si>
  <si>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</si>
  <si>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</si>
  <si>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</si>
  <si>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</si>
  <si>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</si>
  <si>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</si>
  <si>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</si>
  <si>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</si>
  <si>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</si>
  <si>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</si>
  <si>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</si>
  <si>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</si>
  <si>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</si>
  <si>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</si>
  <si>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</si>
  <si>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</si>
  <si>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</si>
  <si>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</si>
  <si>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</si>
  <si>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</si>
  <si>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</si>
  <si>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</si>
  <si>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</si>
  <si>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</si>
  <si>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</si>
  <si>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</si>
  <si>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</si>
  <si>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</si>
  <si>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</si>
  <si>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</si>
  <si>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</si>
  <si>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</si>
  <si>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</si>
  <si>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</si>
  <si>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</si>
  <si>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</si>
  <si>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</si>
  <si>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</si>
  <si>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</si>
  <si>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</si>
  <si>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</si>
  <si>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</si>
  <si>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</si>
  <si>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</si>
  <si>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</si>
  <si>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</si>
  <si>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</si>
  <si>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</si>
  <si>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</si>
  <si>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</si>
  <si>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</si>
  <si>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</si>
  <si>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</si>
  <si>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</si>
  <si>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</si>
  <si>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</si>
  <si>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</si>
  <si>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</si>
  <si>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</si>
  <si>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</si>
  <si>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</si>
  <si>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</si>
  <si>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</si>
  <si>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</si>
  <si>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</si>
  <si>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</si>
  <si>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</si>
  <si>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</si>
  <si>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</si>
  <si>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</si>
  <si>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</si>
  <si>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</si>
  <si>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</si>
  <si>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</si>
  <si>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</si>
  <si>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</si>
  <si>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</si>
  <si>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</si>
  <si>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</si>
  <si>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</si>
  <si>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</si>
  <si>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</si>
  <si>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</si>
  <si>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</si>
  <si>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</si>
  <si>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</si>
  <si>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</si>
  <si>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</si>
  <si>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</si>
  <si>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</si>
  <si>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</si>
  <si>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</si>
  <si>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</si>
  <si>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</si>
  <si>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</si>
  <si>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</si>
  <si>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</si>
  <si>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</si>
  <si>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</si>
  <si>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</si>
  <si>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</si>
  <si>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</si>
  <si>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</si>
  <si>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</si>
  <si>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</si>
  <si>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</si>
  <si>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</si>
  <si>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</si>
  <si>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</si>
  <si>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</si>
  <si>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</si>
  <si>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</si>
  <si>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</si>
  <si>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</si>
  <si>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</si>
  <si>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</si>
  <si>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</si>
  <si>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</si>
  <si>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</si>
  <si>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</si>
  <si>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</si>
  <si>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</si>
  <si>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</si>
  <si>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</si>
  <si>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</si>
  <si>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</si>
  <si>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</si>
  <si>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</si>
  <si>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</si>
  <si>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</si>
  <si>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</si>
  <si>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</si>
  <si>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</si>
  <si>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</si>
  <si>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</si>
  <si>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</si>
  <si>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</si>
  <si>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</si>
  <si>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</si>
  <si>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</si>
  <si>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</si>
  <si>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</si>
  <si>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</si>
  <si>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</si>
  <si>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</si>
  <si>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</si>
  <si>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</si>
  <si>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</si>
  <si>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</si>
  <si>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</si>
  <si>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</si>
  <si>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</si>
  <si>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</si>
  <si>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</si>
  <si>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</si>
  <si>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</si>
  <si>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</si>
  <si>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</si>
  <si>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</si>
  <si>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</si>
  <si>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</si>
  <si>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</si>
  <si>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</si>
  <si>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</si>
  <si>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</si>
  <si>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</si>
  <si>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</si>
  <si>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</si>
  <si>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</si>
  <si>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</si>
  <si>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</si>
  <si>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</si>
  <si>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</si>
  <si>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</si>
  <si>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</si>
  <si>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</si>
  <si>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</si>
  <si>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</si>
  <si>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</si>
  <si>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</si>
  <si>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</si>
  <si>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</si>
  <si>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</si>
  <si>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</si>
  <si>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</si>
  <si>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</si>
  <si>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</si>
  <si>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</si>
  <si>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</si>
  <si>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</si>
  <si>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</si>
  <si>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</si>
  <si>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</si>
  <si>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</si>
  <si>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</si>
  <si>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</si>
  <si>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</si>
  <si>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</si>
  <si>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</si>
  <si>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</si>
  <si>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</si>
  <si>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</si>
  <si>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</si>
  <si>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</si>
  <si>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</si>
  <si>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</si>
  <si>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</si>
  <si>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</si>
  <si>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</si>
  <si>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</si>
  <si>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</si>
  <si>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</si>
  <si>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</si>
  <si>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</si>
  <si>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</si>
  <si>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</si>
  <si>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</si>
  <si>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</si>
  <si>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</si>
  <si>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</si>
  <si>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</si>
  <si>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</si>
  <si>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</si>
  <si>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</si>
  <si>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</si>
  <si>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</si>
  <si>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</si>
  <si>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</si>
  <si>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</si>
  <si>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</si>
  <si>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</si>
  <si>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</si>
  <si>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</si>
  <si>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</si>
  <si>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</si>
  <si>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</si>
  <si>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</si>
  <si>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</si>
  <si>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</si>
  <si>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</si>
  <si>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</si>
  <si>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</si>
  <si>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</si>
  <si>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</si>
  <si>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</si>
  <si>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</si>
  <si>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</si>
  <si>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</si>
  <si>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</si>
  <si>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</si>
  <si>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</si>
  <si>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</si>
  <si>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</si>
  <si>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</si>
  <si>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</si>
  <si>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</si>
  <si>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</si>
  <si>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</si>
  <si>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</si>
  <si>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</si>
  <si>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</si>
  <si>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</si>
  <si>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</si>
  <si>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</si>
  <si>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</si>
  <si>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</si>
  <si>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</si>
  <si>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</si>
  <si>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</si>
  <si>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</si>
  <si>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</si>
  <si>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</si>
  <si>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</si>
  <si>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</si>
  <si>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</si>
  <si>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</si>
  <si>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</si>
  <si>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</si>
  <si>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</si>
  <si>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</si>
  <si>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</si>
  <si>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</si>
  <si>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</si>
  <si>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</si>
  <si>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</si>
  <si>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</si>
  <si>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</si>
  <si>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</si>
  <si>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</si>
  <si>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</si>
  <si>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</si>
  <si>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</si>
  <si>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</si>
  <si>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</si>
  <si>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</si>
  <si>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</si>
  <si>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</si>
  <si>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</si>
  <si>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</si>
  <si>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</si>
  <si>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</si>
  <si>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</si>
  <si>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</si>
  <si>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</si>
  <si>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</si>
  <si>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</si>
  <si>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</si>
  <si>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</si>
  <si>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</si>
  <si>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</si>
  <si>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</si>
  <si>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</si>
  <si>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</si>
  <si>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</si>
  <si>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</si>
  <si>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</si>
  <si>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</si>
  <si>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</si>
  <si>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</si>
  <si>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</si>
  <si>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</si>
  <si>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</si>
  <si>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</si>
  <si>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</si>
  <si>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</si>
  <si>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</si>
  <si>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</si>
  <si>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</si>
  <si>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</si>
  <si>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</si>
  <si>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</si>
  <si>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</si>
  <si>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</si>
  <si>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</si>
  <si>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</si>
  <si>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</si>
  <si>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</si>
  <si>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</si>
  <si>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</si>
  <si>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</si>
  <si>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</si>
  <si>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</si>
  <si>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</si>
  <si>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</si>
  <si>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</si>
  <si>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</si>
  <si>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</si>
  <si>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</si>
  <si>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</si>
  <si>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</si>
  <si>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</si>
  <si>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</si>
  <si>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</si>
  <si>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</si>
  <si>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</si>
  <si>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</si>
  <si>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</si>
  <si>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</si>
  <si>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</si>
  <si>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</si>
  <si>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</si>
  <si>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</si>
  <si>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</si>
  <si>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</si>
  <si>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</si>
  <si>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</si>
  <si>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</si>
  <si>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</si>
  <si>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</si>
  <si>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</si>
  <si>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</si>
  <si>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</si>
  <si>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</si>
  <si>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</si>
  <si>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</si>
  <si>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</si>
  <si>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</si>
  <si>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</si>
  <si>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</si>
  <si>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</si>
  <si>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</si>
  <si>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</si>
  <si>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</si>
  <si>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</si>
  <si>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</si>
  <si>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</si>
  <si>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</si>
  <si>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</si>
  <si>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</si>
  <si>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</si>
  <si>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</si>
  <si>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</si>
  <si>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</si>
  <si>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</si>
  <si>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</si>
  <si>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</si>
  <si>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</si>
  <si>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</si>
  <si>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</si>
  <si>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</si>
  <si>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</si>
  <si>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</si>
  <si>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</si>
  <si>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</si>
  <si>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</si>
  <si>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</si>
  <si>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</si>
  <si>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</si>
  <si>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</si>
  <si>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</si>
  <si>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</si>
  <si>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</si>
  <si>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</si>
  <si>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</si>
  <si>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</si>
  <si>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</si>
  <si>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</si>
  <si>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</si>
  <si>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</si>
  <si>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</si>
  <si>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</si>
  <si>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</si>
  <si>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</si>
  <si>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</si>
  <si>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</si>
  <si>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</si>
  <si>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</si>
  <si>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</si>
  <si>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</si>
  <si>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</si>
  <si>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</si>
  <si>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</si>
  <si>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</si>
  <si>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</si>
  <si>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</si>
  <si>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</si>
  <si>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</si>
  <si>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</si>
  <si>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</si>
  <si>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</si>
  <si>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</si>
  <si>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</si>
  <si>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</si>
  <si>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</si>
  <si>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</si>
  <si>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</si>
  <si>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</si>
  <si>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</si>
  <si>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</si>
  <si>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</si>
  <si>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</si>
  <si>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</si>
  <si>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</si>
  <si>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</si>
  <si>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</si>
  <si>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</si>
  <si>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</si>
  <si>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</si>
  <si>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</si>
  <si>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</si>
  <si>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</si>
  <si>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</si>
  <si>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</si>
  <si>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</si>
  <si>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</si>
  <si>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</si>
  <si>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</si>
  <si>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</si>
  <si>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</si>
  <si>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</si>
  <si>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</si>
  <si>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</si>
  <si>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</si>
  <si>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</si>
  <si>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</si>
  <si>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</si>
  <si>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</si>
  <si>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</si>
  <si>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</si>
  <si>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</si>
  <si>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</si>
  <si>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</si>
  <si>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</si>
  <si>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</si>
  <si>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</si>
  <si>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</si>
  <si>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</si>
  <si>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</si>
  <si>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</si>
  <si>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</si>
  <si>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</si>
  <si>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</si>
  <si>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</si>
  <si>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</si>
  <si>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</si>
  <si>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</si>
  <si>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</si>
  <si>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</si>
  <si>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</si>
  <si>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</si>
  <si>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</si>
  <si>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</si>
  <si>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</si>
  <si>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</si>
  <si>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</si>
  <si>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</si>
  <si>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</si>
  <si>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</si>
  <si>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</si>
  <si>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</si>
  <si>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</si>
  <si>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</si>
  <si>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</si>
  <si>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</si>
  <si>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</si>
  <si>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</si>
  <si>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</si>
  <si>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</si>
  <si>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</si>
  <si>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</si>
  <si>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</si>
  <si>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</si>
  <si>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</si>
  <si>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</si>
  <si>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</si>
  <si>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</si>
  <si>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</si>
  <si>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</si>
  <si>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</si>
  <si>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</si>
  <si>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</si>
  <si>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</si>
  <si>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</si>
  <si>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</si>
  <si>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</si>
  <si>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</si>
  <si>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</si>
  <si>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</si>
  <si>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</si>
  <si>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</si>
  <si>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</si>
  <si>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</si>
  <si>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</si>
  <si>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</si>
  <si>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</si>
  <si>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</si>
  <si>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</si>
  <si>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</si>
  <si>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</si>
  <si>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</si>
  <si>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</si>
  <si>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</si>
  <si>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</si>
  <si>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</si>
  <si>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</si>
  <si>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</si>
  <si>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</si>
  <si>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</si>
  <si>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</si>
  <si>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</si>
  <si>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</si>
  <si>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</si>
  <si>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</si>
  <si>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</si>
  <si>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</si>
  <si>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</si>
  <si>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</si>
  <si>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</si>
  <si>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</si>
  <si>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</si>
  <si>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</si>
  <si>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</si>
  <si>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</si>
  <si>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</si>
  <si>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</si>
  <si>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</si>
  <si>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</si>
  <si>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</si>
  <si>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</si>
  <si>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</si>
  <si>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</si>
  <si>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</si>
  <si>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</si>
  <si>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</si>
  <si>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</si>
  <si>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</si>
  <si>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</si>
  <si>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</si>
  <si>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</si>
  <si>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</si>
  <si>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</si>
  <si>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</si>
  <si>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</si>
  <si>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</si>
  <si>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</si>
  <si>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</si>
  <si>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</si>
  <si>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</si>
  <si>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</si>
  <si>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</si>
  <si>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</si>
  <si>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</si>
  <si>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</si>
  <si>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</si>
  <si>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</si>
  <si>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</si>
  <si>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</si>
  <si>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</si>
  <si>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</si>
  <si>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</si>
  <si>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</si>
  <si>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</si>
  <si>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</si>
  <si>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</si>
  <si>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</si>
  <si>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</si>
  <si>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</si>
  <si>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</si>
  <si>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</si>
  <si>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</si>
  <si>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</si>
  <si>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</si>
  <si>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</si>
  <si>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</si>
  <si>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</si>
  <si>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</si>
  <si>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</si>
  <si>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</si>
  <si>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</si>
  <si>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</si>
  <si>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</si>
  <si>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</si>
  <si>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</si>
  <si>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</si>
  <si>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</si>
  <si>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</si>
  <si>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</si>
  <si>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</si>
  <si>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</si>
  <si>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</si>
  <si>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</si>
  <si>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</si>
  <si>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</si>
  <si>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</si>
  <si>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</si>
  <si>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</si>
  <si>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</si>
  <si>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</si>
  <si>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</si>
  <si>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</si>
  <si>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</si>
  <si>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</si>
  <si>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</si>
  <si>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</si>
  <si>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</si>
  <si>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</si>
  <si>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</si>
  <si>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</si>
  <si>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</si>
  <si>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</si>
  <si>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</si>
  <si>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</si>
  <si>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</si>
  <si>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</si>
  <si>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</si>
  <si>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</si>
  <si>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</si>
  <si>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</si>
  <si>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</si>
  <si>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</si>
  <si>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</si>
  <si>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</si>
  <si>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</si>
  <si>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</si>
  <si>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</si>
  <si>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</si>
  <si>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</si>
  <si>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</si>
  <si>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</si>
  <si>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</si>
  <si>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</si>
  <si>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</si>
  <si>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</si>
  <si>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</si>
  <si>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</si>
  <si>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</si>
  <si>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</si>
  <si>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</si>
  <si>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</si>
  <si>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</si>
  <si>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</si>
  <si>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</si>
  <si>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</si>
  <si>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</si>
  <si>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</si>
  <si>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</si>
  <si>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</si>
  <si>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</si>
  <si>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</si>
  <si>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</si>
  <si>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</si>
  <si>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</si>
  <si>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</si>
  <si>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</si>
  <si>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</si>
  <si>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</si>
  <si>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</si>
  <si>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</si>
  <si>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</si>
  <si>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</si>
  <si>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</si>
  <si>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</si>
  <si>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</si>
  <si>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</si>
  <si>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</si>
  <si>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</si>
  <si>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</si>
  <si>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</si>
  <si>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</si>
  <si>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</si>
  <si>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</si>
  <si>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</si>
  <si>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</si>
  <si>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</si>
  <si>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</si>
  <si>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</si>
  <si>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</si>
  <si>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</si>
  <si>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</si>
  <si>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</si>
  <si>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</si>
  <si>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</si>
  <si>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</si>
  <si>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</si>
  <si>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</si>
  <si>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</si>
  <si>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</si>
  <si>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</si>
  <si>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</si>
  <si>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</si>
  <si>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</si>
  <si>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</si>
  <si>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</si>
  <si>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</si>
  <si>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</si>
  <si>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</si>
  <si>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</si>
  <si>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</si>
  <si>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</si>
  <si>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</si>
  <si>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</si>
  <si>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</si>
  <si>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</si>
  <si>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</si>
  <si>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</si>
  <si>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</si>
  <si>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</si>
  <si>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</si>
  <si>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</si>
  <si>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</si>
  <si>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</si>
  <si>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</si>
  <si>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</si>
  <si>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</si>
  <si>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</si>
  <si>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</si>
  <si>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</si>
  <si>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</si>
  <si>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</si>
  <si>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</si>
  <si>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</si>
  <si>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</si>
  <si>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</si>
  <si>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</si>
  <si>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</si>
  <si>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</si>
  <si>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</si>
  <si>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</si>
  <si>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</si>
  <si>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</si>
  <si>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</si>
  <si>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</si>
  <si>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</si>
  <si>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</si>
  <si>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</si>
  <si>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</si>
  <si>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</si>
  <si>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</si>
  <si>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</si>
  <si>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</si>
  <si>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</si>
  <si>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</si>
  <si>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</si>
  <si>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</si>
  <si>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</si>
  <si>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</si>
  <si>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</si>
  <si>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</si>
  <si>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</si>
  <si>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</si>
  <si>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</si>
  <si>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</si>
  <si>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</si>
  <si>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</si>
  <si>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</si>
  <si>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</si>
  <si>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</si>
  <si>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</si>
  <si>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</si>
  <si>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</si>
  <si>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</si>
  <si>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</si>
  <si>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</si>
  <si>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</si>
  <si>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</si>
  <si>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</si>
  <si>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</si>
  <si>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</si>
  <si>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</si>
  <si>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</si>
  <si>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</si>
  <si>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</si>
  <si>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</si>
  <si>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</si>
  <si>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</si>
  <si>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</si>
  <si>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</si>
  <si>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</si>
  <si>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</si>
  <si>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</si>
  <si>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</si>
  <si>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</si>
  <si>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</si>
  <si>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</si>
  <si>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</si>
  <si>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</si>
  <si>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</si>
  <si>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</si>
  <si>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</si>
  <si>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</si>
  <si>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</si>
  <si>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</si>
  <si>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</si>
  <si>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</si>
  <si>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</si>
  <si>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</si>
  <si>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</si>
  <si>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</si>
  <si>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</si>
  <si>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</si>
  <si>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</si>
  <si>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</si>
  <si>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</si>
  <si>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</si>
  <si>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</si>
  <si>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</si>
  <si>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</si>
  <si>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</si>
  <si>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</si>
  <si>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</si>
  <si>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</si>
  <si>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</si>
  <si>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</si>
  <si>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</si>
  <si>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</si>
  <si>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</si>
  <si>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</si>
  <si>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</si>
  <si>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</si>
  <si>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</si>
  <si>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</si>
  <si>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</si>
  <si>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</si>
  <si>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</si>
  <si>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</si>
  <si>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</si>
  <si>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</si>
  <si>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</si>
  <si>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</si>
  <si>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</si>
  <si>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</si>
  <si>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</si>
  <si>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</si>
  <si>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</si>
  <si>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</si>
  <si>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</si>
  <si>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</si>
  <si>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</si>
  <si>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</si>
  <si>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</si>
  <si>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</si>
  <si>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</si>
  <si>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</si>
  <si>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</si>
  <si>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</si>
  <si>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</si>
  <si>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</si>
  <si>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</si>
  <si>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</si>
  <si>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</si>
  <si>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</si>
  <si>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</si>
  <si>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</si>
  <si>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</si>
  <si>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</si>
  <si>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</si>
  <si>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</si>
  <si>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</si>
  <si>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</si>
  <si>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</si>
  <si>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</si>
  <si>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</si>
  <si>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</si>
  <si>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</si>
  <si>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</si>
  <si>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</si>
  <si>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</si>
  <si>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</si>
  <si>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</si>
  <si>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</si>
  <si>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</si>
  <si>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</si>
  <si>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</si>
  <si>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</si>
  <si>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</si>
  <si>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</si>
  <si>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</si>
  <si>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</si>
  <si>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</si>
  <si>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</si>
  <si>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</si>
  <si>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</si>
  <si>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</si>
  <si>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</si>
  <si>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</si>
  <si>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</si>
  <si>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</si>
  <si>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</si>
  <si>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</si>
  <si>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</si>
  <si>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</si>
  <si>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</si>
  <si>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</si>
  <si>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</si>
  <si>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</si>
  <si>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</si>
  <si>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</si>
  <si>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</si>
  <si>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</si>
  <si>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</si>
  <si>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</si>
  <si>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</si>
  <si>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</si>
  <si>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</si>
  <si>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</si>
  <si>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</si>
  <si>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</si>
  <si>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</si>
  <si>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</si>
  <si>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</si>
  <si>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</si>
  <si>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</si>
  <si>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</si>
  <si>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</si>
  <si>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</si>
  <si>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</si>
  <si>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</si>
  <si>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</si>
  <si>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</si>
  <si>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</si>
  <si>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</si>
  <si>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</si>
  <si>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</si>
  <si>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</si>
  <si>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</si>
  <si>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</si>
  <si>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</si>
  <si>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</si>
  <si>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</si>
  <si>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</si>
  <si>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</si>
  <si>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</si>
  <si>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</si>
  <si>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</si>
  <si>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</si>
  <si>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</si>
  <si>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</si>
  <si>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</si>
  <si>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</si>
  <si>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</si>
  <si>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</si>
  <si>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</si>
  <si>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</si>
  <si>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</si>
  <si>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</si>
  <si>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</si>
  <si>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</si>
  <si>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</si>
  <si>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</si>
  <si>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</si>
  <si>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</si>
  <si>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</si>
  <si>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</si>
  <si>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</si>
  <si>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</si>
  <si>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</si>
  <si>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</si>
  <si>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</si>
  <si>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</si>
  <si>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</si>
  <si>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</si>
  <si>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</si>
  <si>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</si>
  <si>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</si>
  <si>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</si>
  <si>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</si>
  <si>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</si>
  <si>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</si>
  <si>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</si>
  <si>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</si>
  <si>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</si>
  <si>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</si>
  <si>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</si>
  <si>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</si>
  <si>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</si>
  <si>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</si>
  <si>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</si>
  <si>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</si>
  <si>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</si>
  <si>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</si>
  <si>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</si>
  <si>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</si>
  <si>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</si>
  <si>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</si>
  <si>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</si>
  <si>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</si>
  <si>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</si>
  <si>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</si>
  <si>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</si>
  <si>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</si>
  <si>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</si>
  <si>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</si>
  <si>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</si>
  <si>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</si>
  <si>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</si>
  <si>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</si>
  <si>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</si>
  <si>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</si>
  <si>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</si>
  <si>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</si>
  <si>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</si>
  <si>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</si>
  <si>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</si>
  <si>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</si>
  <si>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</si>
  <si>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</si>
  <si>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</si>
  <si>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</si>
  <si>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</si>
  <si>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</si>
  <si>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</si>
  <si>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</si>
  <si>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</si>
  <si>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</si>
  <si>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</si>
  <si>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</si>
  <si>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</si>
  <si>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</si>
  <si>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</si>
  <si>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</si>
  <si>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</si>
  <si>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</si>
  <si>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</si>
  <si>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</si>
  <si>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</si>
  <si>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</si>
  <si>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</si>
  <si>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</si>
  <si>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</si>
  <si>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</si>
  <si>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</si>
  <si>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</si>
  <si>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</si>
  <si>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</si>
  <si>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</si>
  <si>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</si>
  <si>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</si>
  <si>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</si>
  <si>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</si>
  <si>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</si>
  <si>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</si>
  <si>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</si>
  <si>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</si>
  <si>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</si>
  <si>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</si>
  <si>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</si>
  <si>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</si>
  <si>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</si>
  <si>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</si>
  <si>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</si>
  <si>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</si>
  <si>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</si>
  <si>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</si>
  <si>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</si>
  <si>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</si>
  <si>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</si>
  <si>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</si>
  <si>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</si>
  <si>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</si>
  <si>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</si>
  <si>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</si>
  <si>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</si>
  <si>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</si>
  <si>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</si>
  <si>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</si>
  <si>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</si>
  <si>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</si>
  <si>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</si>
  <si>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</si>
  <si>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</si>
  <si>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</si>
  <si>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</si>
  <si>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</si>
  <si>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</si>
  <si>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</si>
  <si>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</si>
  <si>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</si>
  <si>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</si>
  <si>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</si>
  <si>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</si>
  <si>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</si>
  <si>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</si>
  <si>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</si>
  <si>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</si>
  <si>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</si>
  <si>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</si>
  <si>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</si>
  <si>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</si>
  <si>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</si>
  <si>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</si>
  <si>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</si>
  <si>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</si>
  <si>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</si>
  <si>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</si>
  <si>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</si>
  <si>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</si>
  <si>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</si>
  <si>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</si>
  <si>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</si>
  <si>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</si>
  <si>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</si>
  <si>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</si>
  <si>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</si>
  <si>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</si>
  <si>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</si>
  <si>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</si>
  <si>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</si>
  <si>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</si>
  <si>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</si>
  <si>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</si>
  <si>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</si>
  <si>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</si>
  <si>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</si>
  <si>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</si>
  <si>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</si>
  <si>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</si>
  <si>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</si>
  <si>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</si>
  <si>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</si>
  <si>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</si>
  <si>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</si>
  <si>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</si>
  <si>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</si>
  <si>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</si>
  <si>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</si>
  <si>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</si>
  <si>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</si>
  <si>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</si>
  <si>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</si>
  <si>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</si>
  <si>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</si>
  <si>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</si>
  <si>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</si>
  <si>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</si>
  <si>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</si>
  <si>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</si>
  <si>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</si>
  <si>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</si>
  <si>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</si>
  <si>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</si>
  <si>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</si>
  <si>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</si>
  <si>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</si>
  <si>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</si>
  <si>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</si>
  <si>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</si>
  <si>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</si>
  <si>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</si>
  <si>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</si>
  <si>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</si>
  <si>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</si>
  <si>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</si>
  <si>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</si>
  <si>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</si>
  <si>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</si>
  <si>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</si>
  <si>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</si>
  <si>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</si>
  <si>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</si>
  <si>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</si>
  <si>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</si>
  <si>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</si>
  <si>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</si>
  <si>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</si>
  <si>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</si>
  <si>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</si>
  <si>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</si>
  <si>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</si>
  <si>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</si>
  <si>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</si>
  <si>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</si>
  <si>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</si>
  <si>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</si>
  <si>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</si>
  <si>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</si>
  <si>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</si>
  <si>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</si>
  <si>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</si>
  <si>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</si>
  <si>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</si>
  <si>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</si>
  <si>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</si>
  <si>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</si>
  <si>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</si>
  <si>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</si>
  <si>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</si>
  <si>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</si>
  <si>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</si>
  <si>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</si>
  <si>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</si>
  <si>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</si>
  <si>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</si>
  <si>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</si>
  <si>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</si>
  <si>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</si>
  <si>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</si>
  <si>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</si>
  <si>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</si>
  <si>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</si>
  <si>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</si>
  <si>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</si>
  <si>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</si>
  <si>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</si>
  <si>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</si>
  <si>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</si>
  <si>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</si>
  <si>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</si>
  <si>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</si>
  <si>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</si>
  <si>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</si>
  <si>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</si>
  <si>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</si>
  <si>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</si>
  <si>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</si>
  <si>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</si>
  <si>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</si>
  <si>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</si>
  <si>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</si>
  <si>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</si>
  <si>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</si>
  <si>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</si>
  <si>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</si>
  <si>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</si>
  <si>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</si>
  <si>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</si>
  <si>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</si>
  <si>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</si>
  <si>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</si>
  <si>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</si>
  <si>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</si>
  <si>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</si>
  <si>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</si>
  <si>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</si>
  <si>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</si>
  <si>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</si>
  <si>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</si>
  <si>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</si>
  <si>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</si>
  <si>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</si>
  <si>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</si>
  <si>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</si>
  <si>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</si>
  <si>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</si>
  <si>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</si>
  <si>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</si>
  <si>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</si>
  <si>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</si>
  <si>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</si>
  <si>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</si>
  <si>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</si>
  <si>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</si>
  <si>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</si>
  <si>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</si>
  <si>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</si>
  <si>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</si>
  <si>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</si>
  <si>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</si>
  <si>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</si>
  <si>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</si>
  <si>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</si>
  <si>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</si>
  <si>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</si>
  <si>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</si>
  <si>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</si>
  <si>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</si>
  <si>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</si>
  <si>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</si>
  <si>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</si>
  <si>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</si>
  <si>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</si>
  <si>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</si>
  <si>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</si>
  <si>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</si>
  <si>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</si>
  <si>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</si>
  <si>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</si>
  <si>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</si>
  <si>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</si>
  <si>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</si>
  <si>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</si>
  <si>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</si>
  <si>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</si>
  <si>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</si>
  <si>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</si>
  <si>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</si>
  <si>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</si>
  <si>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</si>
  <si>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</si>
  <si>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</si>
  <si>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</si>
  <si>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</si>
  <si>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</si>
  <si>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</si>
  <si>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</si>
  <si>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</si>
  <si>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</si>
  <si>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</si>
  <si>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</si>
  <si>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</si>
  <si>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</si>
  <si>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</si>
  <si>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</si>
  <si>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</si>
  <si>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</si>
  <si>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</si>
  <si>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</si>
  <si>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</si>
  <si>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</si>
  <si>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</si>
  <si>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</si>
  <si>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</si>
  <si>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</si>
  <si>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</si>
  <si>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</si>
  <si>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</si>
  <si>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</si>
  <si>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</si>
  <si>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</si>
  <si>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</si>
  <si>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</si>
  <si>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</si>
  <si>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</si>
  <si>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</si>
  <si>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</si>
  <si>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</si>
  <si>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</si>
  <si>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</si>
  <si>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</si>
  <si>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</si>
  <si>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</si>
  <si>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</si>
  <si>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</si>
  <si>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</si>
  <si>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</si>
  <si>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</si>
  <si>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</si>
  <si>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</si>
  <si>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</si>
  <si>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</si>
  <si>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</si>
  <si>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</si>
  <si>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</si>
  <si>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</si>
  <si>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</si>
  <si>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</si>
  <si>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</si>
  <si>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</si>
  <si>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</si>
  <si>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</si>
  <si>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</si>
  <si>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</si>
  <si>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</si>
  <si>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</si>
  <si>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</si>
  <si>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</si>
  <si>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</si>
  <si>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</si>
  <si>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</si>
  <si>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</si>
  <si>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</si>
  <si>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</si>
  <si>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</si>
  <si>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</si>
  <si>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</si>
  <si>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</si>
  <si>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</si>
  <si>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</si>
  <si>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</si>
  <si>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</si>
  <si>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</si>
  <si>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</si>
  <si>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</si>
  <si>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</si>
  <si>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</si>
  <si>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</si>
  <si>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</si>
  <si>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</si>
  <si>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</si>
  <si>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</si>
  <si>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</si>
  <si>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</si>
  <si>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</si>
  <si>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</si>
  <si>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</si>
  <si>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</si>
  <si>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</si>
  <si>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</si>
  <si>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</si>
  <si>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</si>
  <si>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</si>
  <si>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</si>
  <si>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</si>
  <si>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</si>
  <si>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</si>
  <si>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</si>
  <si>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</si>
  <si>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</si>
  <si>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</si>
  <si>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</si>
  <si>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</si>
  <si>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</si>
  <si>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</si>
  <si>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</si>
  <si>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</si>
  <si>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</si>
  <si>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</si>
  <si>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</si>
  <si>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</si>
  <si>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</si>
  <si>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</si>
  <si>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</si>
  <si>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</si>
  <si>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</si>
  <si>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</si>
  <si>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</si>
  <si>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</si>
  <si>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</si>
  <si>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</si>
  <si>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</si>
  <si>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</si>
  <si>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</si>
  <si>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</si>
  <si>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</si>
  <si>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</si>
  <si>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</si>
  <si>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</si>
  <si>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</si>
  <si>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</si>
  <si>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</si>
  <si>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</si>
  <si>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</si>
  <si>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</si>
  <si>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</si>
  <si>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</si>
  <si>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</si>
  <si>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</si>
  <si>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</si>
  <si>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</si>
  <si>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</si>
  <si>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</si>
  <si>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</si>
  <si>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</si>
  <si>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</si>
  <si>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</si>
  <si>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</si>
  <si>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</si>
  <si>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</si>
  <si>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</si>
  <si>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</si>
  <si>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</si>
  <si>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</si>
  <si>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</si>
  <si>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</si>
  <si>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</si>
  <si>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</si>
  <si>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</si>
  <si>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</si>
  <si>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</si>
  <si>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</si>
  <si>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</si>
  <si>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</si>
  <si>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</si>
  <si>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</si>
  <si>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</si>
  <si>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</si>
  <si>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</si>
  <si>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</si>
  <si>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</si>
  <si>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</si>
  <si>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</si>
  <si>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</si>
  <si>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</si>
  <si>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</si>
  <si>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</si>
  <si>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</si>
  <si>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</si>
  <si>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</si>
  <si>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</si>
  <si>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</si>
  <si>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</si>
  <si>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</si>
  <si>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</si>
  <si>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</si>
  <si>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</si>
  <si>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</si>
  <si>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</si>
  <si>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</si>
  <si>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</si>
  <si>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</si>
  <si>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</si>
  <si>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</si>
  <si>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</si>
  <si>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</si>
  <si>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</si>
  <si>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</si>
  <si>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</si>
  <si>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</si>
  <si>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</si>
  <si>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</si>
  <si>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</si>
  <si>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</si>
  <si>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</si>
  <si>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</si>
  <si>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</si>
  <si>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</si>
  <si>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</si>
  <si>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</si>
  <si>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</si>
  <si>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</si>
  <si>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</si>
  <si>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</si>
  <si>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</si>
  <si>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</si>
  <si>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</si>
  <si>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</si>
  <si>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</si>
  <si>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</si>
  <si>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</si>
  <si>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</si>
  <si>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</si>
  <si>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</si>
  <si>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</si>
  <si>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</si>
  <si>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</si>
  <si>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</si>
  <si>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</si>
  <si>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</si>
  <si>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</si>
  <si>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</si>
  <si>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</si>
  <si>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</si>
  <si>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</si>
  <si>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</si>
  <si>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</si>
  <si>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</si>
  <si>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</si>
  <si>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</si>
  <si>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</si>
  <si>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</si>
  <si>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</si>
  <si>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</si>
  <si>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</si>
  <si>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</si>
  <si>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</si>
  <si>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</si>
  <si>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</si>
  <si>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</si>
  <si>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</si>
  <si>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</si>
  <si>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</si>
  <si>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</si>
  <si>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</si>
  <si>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</si>
  <si>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</si>
  <si>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</si>
  <si>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</si>
  <si>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</si>
  <si>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</si>
  <si>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</si>
  <si>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</si>
  <si>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</si>
  <si>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</si>
  <si>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</si>
  <si>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</si>
  <si>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</si>
  <si>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</si>
  <si>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</si>
  <si>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</si>
  <si>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</si>
  <si>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</si>
  <si>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</si>
  <si>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</si>
  <si>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</si>
  <si>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</si>
  <si>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</si>
  <si>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</si>
  <si>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</si>
  <si>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</si>
  <si>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</si>
  <si>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</si>
  <si>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</si>
  <si>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</si>
  <si>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</si>
  <si>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</si>
  <si>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</si>
  <si>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</si>
  <si>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</si>
  <si>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</si>
  <si>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</si>
  <si>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</si>
  <si>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</si>
  <si>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</si>
  <si>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</si>
  <si>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</si>
  <si>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</si>
  <si>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</si>
  <si>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</si>
  <si>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</si>
  <si>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</si>
  <si>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</si>
  <si>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</si>
  <si>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</si>
  <si>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</si>
  <si>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</si>
  <si>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</si>
  <si>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</si>
  <si>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</si>
  <si>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</si>
  <si>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</si>
  <si>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</si>
  <si>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</si>
  <si>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</si>
  <si>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</si>
  <si>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</si>
  <si>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</si>
  <si>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</si>
  <si>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</si>
  <si>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</si>
  <si>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</si>
  <si>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</si>
  <si>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</si>
  <si>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</si>
  <si>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</si>
  <si>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</si>
  <si>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</si>
  <si>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</si>
  <si>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</si>
  <si>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</si>
  <si>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</si>
  <si>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</si>
  <si>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</si>
  <si>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</si>
  <si>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</si>
  <si>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</si>
  <si>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</si>
  <si>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</si>
  <si>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</si>
  <si>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</si>
  <si>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</si>
  <si>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</si>
  <si>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</si>
  <si>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</si>
  <si>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</si>
  <si>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</si>
  <si>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</si>
  <si>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</si>
  <si>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</si>
  <si>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</si>
  <si>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</si>
  <si>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</si>
  <si>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</si>
  <si>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</si>
  <si>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</si>
  <si>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</si>
  <si>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</si>
  <si>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</si>
  <si>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</si>
  <si>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</si>
  <si>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</si>
  <si>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</si>
  <si>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</si>
  <si>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</si>
  <si>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</si>
  <si>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</si>
  <si>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</si>
  <si>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</si>
  <si>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</si>
  <si>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</si>
  <si>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</si>
  <si>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</si>
  <si>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</si>
  <si>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</si>
  <si>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</si>
  <si>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</si>
  <si>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</si>
  <si>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</si>
  <si>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</si>
  <si>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</si>
  <si>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</si>
  <si>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</si>
  <si>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</si>
  <si>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</si>
  <si>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</si>
  <si>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</si>
  <si>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</si>
  <si>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</si>
  <si>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</si>
  <si>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</si>
  <si>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</si>
  <si>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</si>
  <si>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</si>
  <si>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</si>
  <si>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</si>
  <si>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</si>
  <si>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</si>
  <si>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</si>
  <si>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</si>
  <si>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</si>
  <si>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</si>
  <si>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</si>
  <si>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</si>
  <si>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</si>
  <si>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</si>
  <si>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</si>
  <si>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</si>
  <si>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</si>
  <si>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</si>
  <si>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</si>
  <si>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</si>
  <si>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</si>
  <si>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</si>
  <si>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</si>
  <si>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</si>
  <si>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</si>
  <si>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</si>
  <si>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</si>
  <si>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</si>
  <si>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</si>
  <si>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</si>
  <si>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</si>
  <si>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</si>
  <si>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</si>
  <si>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</si>
  <si>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</si>
  <si>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</si>
  <si>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</si>
  <si>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</si>
  <si>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</si>
  <si>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</si>
  <si>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</si>
  <si>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</si>
  <si>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</si>
  <si>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</si>
  <si>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</si>
  <si>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</si>
  <si>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</si>
  <si>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</si>
  <si>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</si>
  <si>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</si>
  <si>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</si>
  <si>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</si>
  <si>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</si>
  <si>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</si>
  <si>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</si>
  <si>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</si>
  <si>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</si>
  <si>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</si>
  <si>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</si>
  <si>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</si>
  <si>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</si>
  <si>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</si>
  <si>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</si>
  <si>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</si>
  <si>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</si>
  <si>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</si>
  <si>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</si>
  <si>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</si>
  <si>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</si>
  <si>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</si>
  <si>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</si>
  <si>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</si>
  <si>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</si>
  <si>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</si>
  <si>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</si>
  <si>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</si>
  <si>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</si>
  <si>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</si>
  <si>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</si>
  <si>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</si>
  <si>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</si>
  <si>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</si>
  <si>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</si>
  <si>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</si>
  <si>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</si>
  <si>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</si>
  <si>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</si>
  <si>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</si>
  <si>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</si>
  <si>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</si>
  <si>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</si>
  <si>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</si>
  <si>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</si>
  <si>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</si>
  <si>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</si>
  <si>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</si>
  <si>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</si>
  <si>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</si>
  <si>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</si>
  <si>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</si>
  <si>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</si>
  <si>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</si>
  <si>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</si>
  <si>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</si>
  <si>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</si>
  <si>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</si>
  <si>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</si>
  <si>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</si>
  <si>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</si>
  <si>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</si>
  <si>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</si>
  <si>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</si>
  <si>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</si>
  <si>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</si>
  <si>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</si>
  <si>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</si>
  <si>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</si>
  <si>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</si>
  <si>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</si>
  <si>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</si>
  <si>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</si>
  <si>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</si>
  <si>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</si>
  <si>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</si>
  <si>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</si>
  <si>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</si>
  <si>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</si>
  <si>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</si>
  <si>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</si>
  <si>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</si>
  <si>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</si>
  <si>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</si>
  <si>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</si>
  <si>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</si>
  <si>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</si>
  <si>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</si>
  <si>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</si>
  <si>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</si>
  <si>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</si>
  <si>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</si>
  <si>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</si>
  <si>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</si>
  <si>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</si>
  <si>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</si>
  <si>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</si>
  <si>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</si>
  <si>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</si>
  <si>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</si>
  <si>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</si>
  <si>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</si>
  <si>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</si>
  <si>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</si>
  <si>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</si>
  <si>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</si>
  <si>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</si>
  <si>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</si>
  <si>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</si>
  <si>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</si>
  <si>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</si>
  <si>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</si>
  <si>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</si>
  <si>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</si>
  <si>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</si>
  <si>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</si>
  <si>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</si>
  <si>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</si>
  <si>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</si>
  <si>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</si>
  <si>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</si>
  <si>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</si>
  <si>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</si>
  <si>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</si>
  <si>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</si>
  <si>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</si>
  <si>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</si>
  <si>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</si>
  <si>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</si>
  <si>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</si>
  <si>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</si>
  <si>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</si>
  <si>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</si>
  <si>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</si>
  <si>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</si>
  <si>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</si>
  <si>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</si>
  <si>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</si>
  <si>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</si>
  <si>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</si>
  <si>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</si>
  <si>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</si>
  <si>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</si>
  <si>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</si>
  <si>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</si>
  <si>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</si>
  <si>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</si>
  <si>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</si>
  <si>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</si>
  <si>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</si>
  <si>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</si>
  <si>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</si>
  <si>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</si>
  <si>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</si>
  <si>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</si>
  <si>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</si>
  <si>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</si>
  <si>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</si>
  <si>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</si>
  <si>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</si>
  <si>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</si>
  <si>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</si>
  <si>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</si>
  <si>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</si>
  <si>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</si>
  <si>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</si>
  <si>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</si>
  <si>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</si>
  <si>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</si>
  <si>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</si>
  <si>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</si>
  <si>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</si>
  <si>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</si>
  <si>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</si>
  <si>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</si>
  <si>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</si>
  <si>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</si>
  <si>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</si>
  <si>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</si>
  <si>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</si>
  <si>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</si>
  <si>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</si>
  <si>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</si>
  <si>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</si>
  <si>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</si>
  <si>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</si>
  <si>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</si>
  <si>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</si>
  <si>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</si>
  <si>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</si>
  <si>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</si>
  <si>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</si>
  <si>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</si>
  <si>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</si>
  <si>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</si>
  <si>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</si>
  <si>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</si>
  <si>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</si>
  <si>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</si>
  <si>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</si>
  <si>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</si>
  <si>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</si>
  <si>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</si>
  <si>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</si>
  <si>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</si>
  <si>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</si>
  <si>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</si>
  <si>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</si>
  <si>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</si>
  <si>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</si>
  <si>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</si>
  <si>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</si>
  <si>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</si>
  <si>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</si>
  <si>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</si>
  <si>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</si>
  <si>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</si>
  <si>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</si>
  <si>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</si>
  <si>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</si>
  <si>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</si>
  <si>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</si>
  <si>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</si>
  <si>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</si>
  <si>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</si>
  <si>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</si>
  <si>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</si>
  <si>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</si>
  <si>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</si>
  <si>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</si>
  <si>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</si>
  <si>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</si>
  <si>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</si>
  <si>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</si>
  <si>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</si>
  <si>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</si>
  <si>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</si>
  <si>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</si>
  <si>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</si>
  <si>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</si>
  <si>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</si>
  <si>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</si>
  <si>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</si>
  <si>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</si>
  <si>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</si>
  <si>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</si>
  <si>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</si>
  <si>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</si>
  <si>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</si>
  <si>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</si>
  <si>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</si>
  <si>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</si>
  <si>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</si>
  <si>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</si>
  <si>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</si>
  <si>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</si>
  <si>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</si>
  <si>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</si>
  <si>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</si>
  <si>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</si>
  <si>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</si>
  <si>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</si>
  <si>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</si>
  <si>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</si>
  <si>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</si>
  <si>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</si>
  <si>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</si>
  <si>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</si>
  <si>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</si>
  <si>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</si>
  <si>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</si>
  <si>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</si>
  <si>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</si>
  <si>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</si>
  <si>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</si>
  <si>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</si>
  <si>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</si>
  <si>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</si>
  <si>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</si>
  <si>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</si>
  <si>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</si>
  <si>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</si>
  <si>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</si>
  <si>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</si>
  <si>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</si>
  <si>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</si>
  <si>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</si>
  <si>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</si>
  <si>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</si>
  <si>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</si>
  <si>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</si>
  <si>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</si>
  <si>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</si>
  <si>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</si>
  <si>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</si>
  <si>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</si>
  <si>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</si>
  <si>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</si>
  <si>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</si>
  <si>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</si>
  <si>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</si>
  <si>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</si>
  <si>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</si>
  <si>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</si>
  <si>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</si>
  <si>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</si>
  <si>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</si>
  <si>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</si>
  <si>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</si>
  <si>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</si>
  <si>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</si>
  <si>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</si>
  <si>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</si>
  <si>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</si>
  <si>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</si>
  <si>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</si>
  <si>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</si>
  <si>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</si>
  <si>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</si>
  <si>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</si>
  <si>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</si>
  <si>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</si>
  <si>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</si>
  <si>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</si>
  <si>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</si>
  <si>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</si>
  <si>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</si>
  <si>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</si>
  <si>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</si>
  <si>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</si>
  <si>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</si>
  <si>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</si>
  <si>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</si>
  <si>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</si>
  <si>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</si>
  <si>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</si>
  <si>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</si>
  <si>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</si>
  <si>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</si>
  <si>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</si>
  <si>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</si>
  <si>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</si>
  <si>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</si>
  <si>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</si>
  <si>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</si>
  <si>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</si>
  <si>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</si>
  <si>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</si>
  <si>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</si>
  <si>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</si>
  <si>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</si>
  <si>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</si>
  <si>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</si>
  <si>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</si>
  <si>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</si>
  <si>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</si>
  <si>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</si>
  <si>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</si>
  <si>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</si>
  <si>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</si>
  <si>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</si>
  <si>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</si>
  <si>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</si>
  <si>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</si>
  <si>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</si>
  <si>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</si>
  <si>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</si>
  <si>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</si>
  <si>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</si>
  <si>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</si>
  <si>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</si>
  <si>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</si>
  <si>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</si>
  <si>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</si>
  <si>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</si>
  <si>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</si>
  <si>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</si>
  <si>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</si>
  <si>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</si>
  <si>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</si>
  <si>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</si>
  <si>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</si>
  <si>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</si>
  <si>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</si>
  <si>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</si>
  <si>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</si>
  <si>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</si>
  <si>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</si>
  <si>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</si>
  <si>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</si>
  <si>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</si>
  <si>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</si>
  <si>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</si>
  <si>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</si>
  <si>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</si>
  <si>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</si>
  <si>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</si>
  <si>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</si>
  <si>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</si>
  <si>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</si>
  <si>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</si>
  <si>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</si>
  <si>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</si>
  <si>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</si>
  <si>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</si>
  <si>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</si>
  <si>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</si>
  <si>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</si>
  <si>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</si>
  <si>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</si>
  <si>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</si>
  <si>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</si>
  <si>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</si>
  <si>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</si>
  <si>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</si>
  <si>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</si>
  <si>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</si>
  <si>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</si>
  <si>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</si>
  <si>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</si>
  <si>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</si>
  <si>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</si>
  <si>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</si>
  <si>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</si>
  <si>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</si>
  <si>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</si>
  <si>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</si>
  <si>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</si>
  <si>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</si>
  <si>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</si>
  <si>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</si>
  <si>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</si>
  <si>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</si>
  <si>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</si>
  <si>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</si>
  <si>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</si>
  <si>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</si>
  <si>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</si>
  <si>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</si>
  <si>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</si>
  <si>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</si>
  <si>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</si>
  <si>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</si>
  <si>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</si>
  <si>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</si>
  <si>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</si>
  <si>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</si>
  <si>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</si>
  <si>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</si>
  <si>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</si>
  <si>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</si>
  <si>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</si>
  <si>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</si>
  <si>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</si>
  <si>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</si>
  <si>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</si>
  <si>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</si>
  <si>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</si>
  <si>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</si>
  <si>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</si>
  <si>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</si>
  <si>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</si>
  <si>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</si>
  <si>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</si>
  <si>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</si>
  <si>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</si>
  <si>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</si>
  <si>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</si>
  <si>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</si>
  <si>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</si>
  <si>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</si>
  <si>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</si>
  <si>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</si>
  <si>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</si>
  <si>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</si>
  <si>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</si>
  <si>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</si>
  <si>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</si>
  <si>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</si>
  <si>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</si>
  <si>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</si>
  <si>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</si>
  <si>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</si>
  <si>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</si>
  <si>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</si>
  <si>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</si>
  <si>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</si>
  <si>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</si>
  <si>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</si>
  <si>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</si>
  <si>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</si>
  <si>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</si>
  <si>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</si>
  <si>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</si>
  <si>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</si>
  <si>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</si>
  <si>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</si>
  <si>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</si>
  <si>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</si>
  <si>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</si>
  <si>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</si>
  <si>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</si>
  <si>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</si>
  <si>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</si>
  <si>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</si>
  <si>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</si>
  <si>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</si>
  <si>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</si>
  <si>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</si>
  <si>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</si>
  <si>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</si>
  <si>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</si>
  <si>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</si>
  <si>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</si>
  <si>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</si>
  <si>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</si>
  <si>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</si>
  <si>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</si>
  <si>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</si>
  <si>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</si>
  <si>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</si>
  <si>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</si>
  <si>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</si>
  <si>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</si>
  <si>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</si>
  <si>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</si>
  <si>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</si>
  <si>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</si>
  <si>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</si>
  <si>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</si>
  <si>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</si>
  <si>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</si>
  <si>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</si>
  <si>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</si>
  <si>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</si>
  <si>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</si>
  <si>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</si>
  <si>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</si>
  <si>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</si>
  <si>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</si>
  <si>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</si>
  <si>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</si>
  <si>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</si>
  <si>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</si>
  <si>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</si>
  <si>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</si>
  <si>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</si>
  <si>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</si>
  <si>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</si>
  <si>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</si>
  <si>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</si>
  <si>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</si>
  <si>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</si>
  <si>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</si>
  <si>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</si>
  <si>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</si>
  <si>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</si>
  <si>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</si>
  <si>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</si>
  <si>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</si>
  <si>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</si>
  <si>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</si>
  <si>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</si>
  <si>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</si>
  <si>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</si>
  <si>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</si>
  <si>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</si>
  <si>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</si>
  <si>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</si>
  <si>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</si>
  <si>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</si>
  <si>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</si>
  <si>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</si>
  <si>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</si>
  <si>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</si>
  <si>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</si>
  <si>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</si>
  <si>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</si>
  <si>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</si>
  <si>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</si>
  <si>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</si>
  <si>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</si>
  <si>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</si>
  <si>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</si>
  <si>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</si>
  <si>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</si>
  <si>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</si>
  <si>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</si>
  <si>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</si>
  <si>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</si>
  <si>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</si>
  <si>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</si>
  <si>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</si>
  <si>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</si>
  <si>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</si>
  <si>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</si>
  <si>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</si>
  <si>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</si>
  <si>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</si>
  <si>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</si>
  <si>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</si>
  <si>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</si>
  <si>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</si>
  <si>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</si>
  <si>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</si>
  <si>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</si>
  <si>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</si>
  <si>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</si>
  <si>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</si>
  <si>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</si>
  <si>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</si>
  <si>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</si>
  <si>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</si>
  <si>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</si>
  <si>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</si>
  <si>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</si>
  <si>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</si>
  <si>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</si>
  <si>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</si>
  <si>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</si>
  <si>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</si>
  <si>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</si>
  <si>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</si>
  <si>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</si>
  <si>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</si>
  <si>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</si>
  <si>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</si>
  <si>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</si>
  <si>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</si>
  <si>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</si>
  <si>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</si>
  <si>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Resouces:</t>
  </si>
  <si>
    <t>Excel Dashboard Tutorial Video</t>
  </si>
  <si>
    <t>Adv. Excel Dashboards Course by Chandoo</t>
  </si>
  <si>
    <t>You will get the full workbook in the course!</t>
  </si>
  <si>
    <t>Row Labels</t>
  </si>
  <si>
    <t>Grand Total</t>
  </si>
  <si>
    <t>Count of TX ID</t>
  </si>
  <si>
    <t>Sum of Quantity</t>
  </si>
  <si>
    <t>Sum of Amount</t>
  </si>
  <si>
    <t>Average of Rating C</t>
  </si>
  <si>
    <t>Average of Days to Deliver</t>
  </si>
  <si>
    <t>values for display</t>
  </si>
  <si>
    <t>Qty</t>
  </si>
  <si>
    <t>Avg.Days</t>
  </si>
  <si>
    <t>for trends</t>
  </si>
  <si>
    <t>Column Labels</t>
  </si>
  <si>
    <t>Female</t>
  </si>
  <si>
    <t>Male</t>
  </si>
  <si>
    <t>Other</t>
  </si>
  <si>
    <t>Unknown</t>
  </si>
  <si>
    <t>Sum</t>
  </si>
  <si>
    <t>Average</t>
  </si>
  <si>
    <t>Running Total</t>
  </si>
  <si>
    <t>Count</t>
  </si>
  <si>
    <t>Qty analysis</t>
  </si>
  <si>
    <t>6-10</t>
  </si>
  <si>
    <t>More than 10</t>
  </si>
  <si>
    <t>1</t>
  </si>
  <si>
    <t>2</t>
  </si>
  <si>
    <t>3</t>
  </si>
  <si>
    <t>4</t>
  </si>
  <si>
    <t>5</t>
  </si>
  <si>
    <t>Map chart for amount</t>
  </si>
  <si>
    <t>map chart for qty</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</si>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</sst>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9" formatCode="&quot;₦&quot;#,##0"/>
    <numFmt numFmtId="170" formatCode="0.0%"/>
    <numFmt numFmtId="171" formatCode="0.0"/>
  </numFmts>
  <fonts count="5" x14ac:knownFonts="1">
    <font>
      <sz val="11"/>
      <color theme="1"/>
      <name val="Tw Cen MT"/>
      <family val="2"/>
      <scheme val="minor"/>
    </font>
    <font>
      <b/>
      <sz val="11"/>
      <color theme="1"/>
      <name val="Tw Cen MT"/>
      <family val="2"/>
      <scheme val="minor"/>
    </font>
    <font>
      <sz val="8"/>
      <name val="Tw Cen MT"/>
      <family val="2"/>
      <scheme val="minor"/>
    </font>
    <font>
      <u/>
      <sz val="11"/>
      <color theme="10"/>
      <name val="Tw Cen MT"/>
      <family val="2"/>
      <scheme val="minor"/>
    </font>
    <font>
      <b/>
      <sz val="11"/>
      <color theme="1"/>
      <name val="Tw Cen MT"/>
      <scheme val="minor"/>
    </font>
  </fonts>
  <fills count="8">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s>
  <borders count="19">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ck">
        <color theme="0"/>
      </left>
      <right style="thick">
        <color theme="0"/>
      </right>
      <top style="thick">
        <color theme="0"/>
      </top>
      <bottom style="thick">
        <color theme="0"/>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top/>
      <bottom style="thick">
        <color theme="0"/>
      </bottom>
      <diagonal/>
    </border>
    <border>
      <left/>
      <right style="thick">
        <color theme="0"/>
      </right>
      <top style="thick">
        <color theme="0"/>
      </top>
      <bottom style="thick">
        <color theme="0"/>
      </bottom>
      <diagonal/>
    </border>
    <border>
      <left style="thick">
        <color theme="0"/>
      </left>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s>
  <cellStyleXfs count="2">
    <xf numFmtId="0" fontId="0" fillId="0" borderId="0"/>
    <xf numFmtId="0" fontId="3" fillId="0" borderId="0" applyNumberFormat="0" applyFill="0" applyBorder="0" applyAlignment="0" applyProtection="0"/>
  </cellStyleXfs>
  <cellXfs count="44">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4" fillId="0" borderId="0" xfId="0" applyFont="1"/>
    <xf numFmtId="169" fontId="0" fillId="0" borderId="0" xfId="0" applyNumberFormat="1"/>
    <xf numFmtId="0" fontId="0" fillId="0" borderId="0" xfId="0" applyAlignment="1">
      <alignment horizontal="center" vertical="center" wrapText="1"/>
    </xf>
    <xf numFmtId="10" fontId="0" fillId="0" borderId="0" xfId="0" applyNumberFormat="1" applyAlignment="1">
      <alignment horizontal="center" vertical="center" wrapText="1"/>
    </xf>
    <xf numFmtId="0" fontId="0" fillId="0" borderId="0" xfId="0" applyAlignment="1">
      <alignment horizontal="center" vertical="center"/>
    </xf>
    <xf numFmtId="10" fontId="0" fillId="0" borderId="0" xfId="0" applyNumberFormat="1" applyAlignment="1">
      <alignment horizontal="center" vertical="center"/>
    </xf>
    <xf numFmtId="0" fontId="0" fillId="0" borderId="0" xfId="0" applyAlignment="1">
      <alignment vertical="center"/>
    </xf>
    <xf numFmtId="0" fontId="0" fillId="0" borderId="0" xfId="0" pivotButton="1" applyAlignment="1">
      <alignment horizontal="center" vertical="center"/>
    </xf>
    <xf numFmtId="0" fontId="0" fillId="0" borderId="11" xfId="0" applyBorder="1" applyAlignment="1">
      <alignment horizontal="center" vertical="center"/>
    </xf>
    <xf numFmtId="0" fontId="0" fillId="0" borderId="12" xfId="0" applyBorder="1" applyAlignment="1">
      <alignment horizontal="left" vertical="center"/>
    </xf>
    <xf numFmtId="0" fontId="0" fillId="0" borderId="13" xfId="0" applyBorder="1" applyAlignment="1">
      <alignment horizontal="left" vertical="center"/>
    </xf>
    <xf numFmtId="0" fontId="0" fillId="0" borderId="16" xfId="0" applyBorder="1" applyAlignment="1">
      <alignment horizontal="left" vertical="center"/>
    </xf>
    <xf numFmtId="170" fontId="0" fillId="0" borderId="17" xfId="0" applyNumberFormat="1" applyBorder="1" applyAlignment="1">
      <alignment horizontal="center" vertical="center"/>
    </xf>
    <xf numFmtId="170" fontId="0" fillId="0" borderId="18" xfId="0" applyNumberFormat="1" applyBorder="1" applyAlignment="1">
      <alignment horizontal="center" vertical="center"/>
    </xf>
    <xf numFmtId="0" fontId="0" fillId="0" borderId="14" xfId="0" applyBorder="1" applyAlignment="1">
      <alignment vertical="center"/>
    </xf>
    <xf numFmtId="170" fontId="0" fillId="0" borderId="10" xfId="0" applyNumberFormat="1" applyBorder="1" applyAlignment="1">
      <alignment horizontal="center" vertical="center"/>
    </xf>
    <xf numFmtId="170" fontId="0" fillId="0" borderId="15" xfId="0" applyNumberFormat="1" applyBorder="1" applyAlignment="1">
      <alignment horizontal="center" vertical="center"/>
    </xf>
    <xf numFmtId="0" fontId="0" fillId="0" borderId="14" xfId="0" applyBorder="1" applyAlignment="1">
      <alignment horizontal="left" vertical="center"/>
    </xf>
    <xf numFmtId="171" fontId="0" fillId="0" borderId="0" xfId="0" applyNumberFormat="1"/>
  </cellXfs>
  <cellStyles count="2">
    <cellStyle name="Hyperlink" xfId="1" builtinId="8"/>
    <cellStyle name="Normal" xfId="0" builtinId="0"/>
  </cellStyles>
  <dxfs count="36">
    <dxf>
      <numFmt numFmtId="169" formatCode="&quot;₦&quot;#,##0"/>
    </dxf>
    <dxf>
      <numFmt numFmtId="171" formatCode="0.0"/>
    </dxf>
    <dxf>
      <numFmt numFmtId="169" formatCode="&quot;₦&quot;#,##0"/>
    </dxf>
    <dxf>
      <numFmt numFmtId="171" formatCode="0.0"/>
    </dxf>
    <dxf>
      <numFmt numFmtId="169" formatCode="&quot;₦&quot;#,##0"/>
    </dxf>
    <dxf>
      <numFmt numFmtId="171" formatCode="0.0"/>
    </dxf>
    <dxf>
      <alignment wrapText="1"/>
    </dxf>
    <dxf>
      <alignment wrapText="1"/>
    </dxf>
    <dxf>
      <alignment vertical="center"/>
    </dxf>
    <dxf>
      <alignment wrapText="0"/>
    </dxf>
    <dxf>
      <alignment wrapText="1"/>
    </dxf>
    <dxf>
      <alignment vertical="center"/>
    </dxf>
    <dxf>
      <alignment vertical="center"/>
    </dxf>
    <dxf>
      <alignment vertical="center"/>
    </dxf>
    <dxf>
      <alignment vertical="center"/>
    </dxf>
    <dxf>
      <alignment wrapText="0"/>
    </dxf>
    <dxf>
      <alignment wrapText="0"/>
    </dxf>
    <dxf>
      <alignment wrapText="0"/>
    </dxf>
    <dxf>
      <alignment wrapTex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numFmt numFmtId="0" formatCode="General"/>
    </dxf>
    <dxf>
      <numFmt numFmtId="0" formatCode="General"/>
    </dxf>
    <dxf>
      <numFmt numFmtId="0" formatCode="General"/>
    </dxf>
    <dxf>
      <numFmt numFmtId="164" formatCode="d\-mmm\-yy"/>
    </dxf>
    <dxf>
      <numFmt numFmtId="164" formatCode="d\-mmm\-yy"/>
    </dxf>
  </dxfs>
  <tableStyles count="0" defaultTableStyle="TableStyleMedium2" defaultPivotStyle="PivotStyleLight16"/>
  <colors>
    <mruColors>
      <color rgb="FF006600"/>
      <color rgb="FFFFCC99"/>
      <color rgb="FFFF9900"/>
      <color rgb="FFC26714"/>
      <color rgb="FFFF9933"/>
      <color rgb="FF55AB5D"/>
      <color rgb="FFFFDCB9"/>
      <color rgb="FFFFD3A7"/>
      <color rgb="FFCCFFCC"/>
      <color rgb="FFFFA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^0 Customer Analytics Dashboard.xlsx]pivot table!PivotTable8</c:name>
    <c:fmtId val="12"/>
  </c:pivotSource>
  <c:chart>
    <c:title>
      <c:tx>
        <c:rich>
          <a:bodyPr rot="0" spcFirstLastPara="1" vertOverflow="ellipsis" vert="horz" wrap="square" anchor="ctr" anchorCtr="1"/>
          <a:lstStyle/>
          <a:p>
            <a:pPr>
              <a:defRPr sz="1500" b="1" i="0" u="none" strike="noStrike" kern="1200" spc="0" baseline="0">
                <a:solidFill>
                  <a:schemeClr val="tx1"/>
                </a:solidFill>
                <a:latin typeface="+mn-lt"/>
                <a:ea typeface="+mn-ea"/>
                <a:cs typeface="+mn-cs"/>
              </a:defRPr>
            </a:pPr>
            <a:r>
              <a:rPr lang="en-US" sz="1600" b="1">
                <a:solidFill>
                  <a:schemeClr val="tx1"/>
                </a:solidFill>
              </a:rPr>
              <a:t>Last 13 Weeks</a:t>
            </a:r>
            <a:r>
              <a:rPr lang="en-US" sz="1600" b="1" baseline="0">
                <a:solidFill>
                  <a:schemeClr val="tx1"/>
                </a:solidFill>
              </a:rPr>
              <a:t> Trends- Qty &amp; Amount </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5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lumMod val="50000"/>
              </a:schemeClr>
            </a:solidFill>
            <a:round/>
          </a:ln>
          <a:effectLst/>
        </c:spPr>
        <c:marker>
          <c:symbol val="circle"/>
          <c:size val="5"/>
          <c:spPr>
            <a:solidFill>
              <a:schemeClr val="accent1">
                <a:lumMod val="75000"/>
              </a:schemeClr>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lumMod val="75000"/>
              </a:schemeClr>
            </a:solidFill>
            <a:round/>
          </a:ln>
          <a:effectLst/>
        </c:spPr>
        <c:marker>
          <c:symbol val="circle"/>
          <c:size val="5"/>
          <c:spPr>
            <a:solidFill>
              <a:srgbClr val="FFCC99"/>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table'!$B$10</c:f>
              <c:strCache>
                <c:ptCount val="1"/>
                <c:pt idx="0">
                  <c:v>Sum of Quantity</c:v>
                </c:pt>
              </c:strCache>
            </c:strRef>
          </c:tx>
          <c:spPr>
            <a:ln w="28575" cap="rnd">
              <a:solidFill>
                <a:schemeClr val="accent1">
                  <a:lumMod val="50000"/>
                </a:schemeClr>
              </a:solidFill>
              <a:round/>
            </a:ln>
            <a:effectLst/>
          </c:spPr>
          <c:marker>
            <c:symbol val="circle"/>
            <c:size val="5"/>
            <c:spPr>
              <a:solidFill>
                <a:schemeClr val="accent1">
                  <a:lumMod val="75000"/>
                </a:schemeClr>
              </a:solidFill>
              <a:ln w="9525">
                <a:solidFill>
                  <a:schemeClr val="accent6"/>
                </a:solidFill>
              </a:ln>
              <a:effectLst/>
            </c:spPr>
          </c:marker>
          <c:cat>
            <c:strRef>
              <c:f>'pivot table'!$A$11:$A$24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 table'!$B$11:$B$24</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0D4A-41BB-AC4C-1A8D5DFBA2E9}"/>
            </c:ext>
          </c:extLst>
        </c:ser>
        <c:dLbls>
          <c:showLegendKey val="0"/>
          <c:showVal val="0"/>
          <c:showCatName val="0"/>
          <c:showSerName val="0"/>
          <c:showPercent val="0"/>
          <c:showBubbleSize val="0"/>
        </c:dLbls>
        <c:marker val="1"/>
        <c:smooth val="0"/>
        <c:axId val="1567201872"/>
        <c:axId val="1567202704"/>
      </c:lineChart>
      <c:lineChart>
        <c:grouping val="standard"/>
        <c:varyColors val="0"/>
        <c:ser>
          <c:idx val="1"/>
          <c:order val="1"/>
          <c:tx>
            <c:strRef>
              <c:f>'pivot table'!$C$10</c:f>
              <c:strCache>
                <c:ptCount val="1"/>
                <c:pt idx="0">
                  <c:v>Sum of Amount</c:v>
                </c:pt>
              </c:strCache>
            </c:strRef>
          </c:tx>
          <c:spPr>
            <a:ln w="28575" cap="rnd">
              <a:solidFill>
                <a:schemeClr val="accent2">
                  <a:lumMod val="75000"/>
                </a:schemeClr>
              </a:solidFill>
              <a:round/>
            </a:ln>
            <a:effectLst/>
          </c:spPr>
          <c:marker>
            <c:symbol val="circle"/>
            <c:size val="5"/>
            <c:spPr>
              <a:solidFill>
                <a:srgbClr val="FFCC99"/>
              </a:solidFill>
              <a:ln w="9525">
                <a:solidFill>
                  <a:schemeClr val="accent5"/>
                </a:solidFill>
              </a:ln>
              <a:effectLst/>
            </c:spPr>
          </c:marker>
          <c:cat>
            <c:strRef>
              <c:f>'pivot table'!$A$11:$A$24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 table'!$C$11:$C$24</c:f>
              <c:numCache>
                <c:formatCode>"₦"#,##0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0D4A-41BB-AC4C-1A8D5DFBA2E9}"/>
            </c:ext>
          </c:extLst>
        </c:ser>
        <c:dLbls>
          <c:showLegendKey val="0"/>
          <c:showVal val="0"/>
          <c:showCatName val="0"/>
          <c:showSerName val="0"/>
          <c:showPercent val="0"/>
          <c:showBubbleSize val="0"/>
        </c:dLbls>
        <c:marker val="1"/>
        <c:smooth val="0"/>
        <c:axId val="1714669504"/>
        <c:axId val="1714669088"/>
      </c:lineChart>
      <c:catAx>
        <c:axId val="156720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202704"/>
        <c:crosses val="autoZero"/>
        <c:auto val="1"/>
        <c:lblAlgn val="ctr"/>
        <c:lblOffset val="100"/>
        <c:noMultiLvlLbl val="0"/>
      </c:catAx>
      <c:valAx>
        <c:axId val="1567202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201872"/>
        <c:crosses val="autoZero"/>
        <c:crossBetween val="between"/>
      </c:valAx>
      <c:valAx>
        <c:axId val="1714669088"/>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669504"/>
        <c:crosses val="max"/>
        <c:crossBetween val="between"/>
      </c:valAx>
      <c:catAx>
        <c:axId val="1714669504"/>
        <c:scaling>
          <c:orientation val="minMax"/>
        </c:scaling>
        <c:delete val="1"/>
        <c:axPos val="b"/>
        <c:numFmt formatCode="General" sourceLinked="1"/>
        <c:majorTickMark val="out"/>
        <c:minorTickMark val="none"/>
        <c:tickLblPos val="nextTo"/>
        <c:crossAx val="1714669088"/>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^0 Customer Analytics Dashboard.xlsx]pivot table!pivot table column chart 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How</a:t>
            </a:r>
            <a:r>
              <a:rPr lang="en-US" sz="1600" b="1" baseline="0">
                <a:solidFill>
                  <a:schemeClr val="tx1"/>
                </a:solidFill>
              </a:rPr>
              <a:t> many they buy?</a:t>
            </a:r>
            <a:endParaRPr lang="en-US">
              <a:solidFill>
                <a:schemeClr val="tx1"/>
              </a:solidFill>
            </a:endParaRPr>
          </a:p>
        </c:rich>
      </c:tx>
      <c:layout>
        <c:manualLayout>
          <c:xMode val="edge"/>
          <c:yMode val="edge"/>
          <c:x val="0.2187299814392010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table'!$F$10</c:f>
              <c:strCache>
                <c:ptCount val="1"/>
                <c:pt idx="0">
                  <c:v>Total</c:v>
                </c:pt>
              </c:strCache>
            </c:strRef>
          </c:tx>
          <c:spPr>
            <a:solidFill>
              <a:schemeClr val="accent5"/>
            </a:solidFill>
            <a:ln>
              <a:noFill/>
            </a:ln>
            <a:effectLst/>
          </c:spPr>
          <c:invertIfNegative val="0"/>
          <c:cat>
            <c:strRef>
              <c:f>'pivot table'!$E$11:$E$18</c:f>
              <c:strCache>
                <c:ptCount val="7"/>
                <c:pt idx="0">
                  <c:v>1</c:v>
                </c:pt>
                <c:pt idx="1">
                  <c:v>2</c:v>
                </c:pt>
                <c:pt idx="2">
                  <c:v>3</c:v>
                </c:pt>
                <c:pt idx="3">
                  <c:v>4</c:v>
                </c:pt>
                <c:pt idx="4">
                  <c:v>5</c:v>
                </c:pt>
                <c:pt idx="5">
                  <c:v>6-10</c:v>
                </c:pt>
                <c:pt idx="6">
                  <c:v>More than 10</c:v>
                </c:pt>
              </c:strCache>
            </c:strRef>
          </c:cat>
          <c:val>
            <c:numRef>
              <c:f>'pivot table'!$F$11:$F$18</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AD2D-4FCF-88C3-3BDCBCF464D4}"/>
            </c:ext>
          </c:extLst>
        </c:ser>
        <c:dLbls>
          <c:showLegendKey val="0"/>
          <c:showVal val="0"/>
          <c:showCatName val="0"/>
          <c:showSerName val="0"/>
          <c:showPercent val="0"/>
          <c:showBubbleSize val="0"/>
        </c:dLbls>
        <c:gapWidth val="2"/>
        <c:overlap val="-27"/>
        <c:axId val="1715322864"/>
        <c:axId val="1715319536"/>
      </c:barChart>
      <c:catAx>
        <c:axId val="171532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319536"/>
        <c:crosses val="autoZero"/>
        <c:auto val="1"/>
        <c:lblAlgn val="ctr"/>
        <c:lblOffset val="100"/>
        <c:noMultiLvlLbl val="0"/>
      </c:catAx>
      <c:valAx>
        <c:axId val="1715319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322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^0 Customer Analytics Dashboard.xlsx]pivot table!barchart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Which</a:t>
            </a:r>
            <a:r>
              <a:rPr lang="en-US" sz="1600" b="1" baseline="0"/>
              <a:t> Products are Popular?   Breakdown by Gender</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table'!$B$28:$B$29</c:f>
              <c:strCache>
                <c:ptCount val="1"/>
                <c:pt idx="0">
                  <c:v>Female</c:v>
                </c:pt>
              </c:strCache>
            </c:strRef>
          </c:tx>
          <c:spPr>
            <a:solidFill>
              <a:schemeClr val="accent1"/>
            </a:solidFill>
            <a:ln>
              <a:noFill/>
            </a:ln>
            <a:effectLst/>
          </c:spPr>
          <c:invertIfNegative val="0"/>
          <c:cat>
            <c:strRef>
              <c:f>'pivot table'!$A$30:$A$50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table'!$B$30:$B$50</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3D38-4A75-B5D2-B8483175FD6F}"/>
            </c:ext>
          </c:extLst>
        </c:ser>
        <c:ser>
          <c:idx val="1"/>
          <c:order val="1"/>
          <c:tx>
            <c:strRef>
              <c:f>'pivot table'!$C$28:$C$29</c:f>
              <c:strCache>
                <c:ptCount val="1"/>
                <c:pt idx="0">
                  <c:v>Male</c:v>
                </c:pt>
              </c:strCache>
            </c:strRef>
          </c:tx>
          <c:spPr>
            <a:solidFill>
              <a:schemeClr val="accent2"/>
            </a:solidFill>
            <a:ln>
              <a:noFill/>
            </a:ln>
            <a:effectLst/>
          </c:spPr>
          <c:invertIfNegative val="0"/>
          <c:cat>
            <c:strRef>
              <c:f>'pivot table'!$A$30:$A$50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table'!$C$30:$C$50</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3D38-4A75-B5D2-B8483175FD6F}"/>
            </c:ext>
          </c:extLst>
        </c:ser>
        <c:ser>
          <c:idx val="2"/>
          <c:order val="2"/>
          <c:tx>
            <c:strRef>
              <c:f>'pivot table'!$D$28:$D$29</c:f>
              <c:strCache>
                <c:ptCount val="1"/>
                <c:pt idx="0">
                  <c:v>Other</c:v>
                </c:pt>
              </c:strCache>
            </c:strRef>
          </c:tx>
          <c:spPr>
            <a:solidFill>
              <a:schemeClr val="accent3"/>
            </a:solidFill>
            <a:ln>
              <a:noFill/>
            </a:ln>
            <a:effectLst/>
          </c:spPr>
          <c:invertIfNegative val="0"/>
          <c:cat>
            <c:strRef>
              <c:f>'pivot table'!$A$30:$A$50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table'!$D$30:$D$50</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3D38-4A75-B5D2-B8483175FD6F}"/>
            </c:ext>
          </c:extLst>
        </c:ser>
        <c:ser>
          <c:idx val="3"/>
          <c:order val="3"/>
          <c:tx>
            <c:strRef>
              <c:f>'pivot table'!$E$28:$E$29</c:f>
              <c:strCache>
                <c:ptCount val="1"/>
                <c:pt idx="0">
                  <c:v>Unknown</c:v>
                </c:pt>
              </c:strCache>
            </c:strRef>
          </c:tx>
          <c:spPr>
            <a:solidFill>
              <a:schemeClr val="accent4"/>
            </a:solidFill>
            <a:ln>
              <a:noFill/>
            </a:ln>
            <a:effectLst/>
          </c:spPr>
          <c:invertIfNegative val="0"/>
          <c:cat>
            <c:strRef>
              <c:f>'pivot table'!$A$30:$A$50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table'!$E$30:$E$50</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3D38-4A75-B5D2-B8483175FD6F}"/>
            </c:ext>
          </c:extLst>
        </c:ser>
        <c:dLbls>
          <c:showLegendKey val="0"/>
          <c:showVal val="0"/>
          <c:showCatName val="0"/>
          <c:showSerName val="0"/>
          <c:showPercent val="0"/>
          <c:showBubbleSize val="0"/>
        </c:dLbls>
        <c:gapWidth val="10"/>
        <c:overlap val="100"/>
        <c:axId val="1712494048"/>
        <c:axId val="1712490720"/>
      </c:barChart>
      <c:catAx>
        <c:axId val="1712494048"/>
        <c:scaling>
          <c:orientation val="maxMin"/>
        </c:scaling>
        <c:delete val="0"/>
        <c:axPos val="l"/>
        <c:numFmt formatCode="General"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490720"/>
        <c:crosses val="autoZero"/>
        <c:auto val="1"/>
        <c:lblAlgn val="ctr"/>
        <c:lblOffset val="100"/>
        <c:noMultiLvlLbl val="0"/>
      </c:catAx>
      <c:valAx>
        <c:axId val="1712490720"/>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494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^0 Customer Analytics Dashboard.xlsx]pivot table!PivotTable14</c:name>
    <c:fmtId val="12"/>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pivotFmt>
      <c:pivotFmt>
        <c:idx val="13"/>
        <c:spPr>
          <a:solidFill>
            <a:schemeClr val="accent2"/>
          </a:solidFill>
          <a:ln>
            <a:noFill/>
          </a:ln>
          <a:effectLst/>
        </c:spPr>
      </c:pivotFmt>
      <c:pivotFmt>
        <c:idx val="14"/>
        <c:spPr>
          <a:solidFill>
            <a:schemeClr val="accent2"/>
          </a:solidFill>
          <a:ln>
            <a:noFill/>
          </a:ln>
          <a:effectLst/>
        </c:spPr>
      </c:pivotFmt>
      <c:pivotFmt>
        <c:idx val="15"/>
        <c:spPr>
          <a:solidFill>
            <a:schemeClr val="accent2"/>
          </a:solidFill>
          <a:ln>
            <a:noFill/>
          </a:ln>
          <a:effectLst/>
        </c:spPr>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pivotFmt>
      <c:pivotFmt>
        <c:idx val="18"/>
        <c:spPr>
          <a:solidFill>
            <a:schemeClr val="accent2"/>
          </a:solidFill>
          <a:ln>
            <a:noFill/>
          </a:ln>
          <a:effectLst/>
        </c:spPr>
      </c:pivotFmt>
      <c:pivotFmt>
        <c:idx val="19"/>
        <c:spPr>
          <a:solidFill>
            <a:schemeClr val="accent2"/>
          </a:solidFill>
          <a:ln>
            <a:noFill/>
          </a:ln>
          <a:effectLst/>
        </c:spPr>
      </c:pivotFmt>
      <c:pivotFmt>
        <c:idx val="20"/>
        <c:spPr>
          <a:solidFill>
            <a:schemeClr val="accent2"/>
          </a:solidFill>
          <a:ln>
            <a:noFill/>
          </a:ln>
          <a:effectLst/>
        </c:spPr>
      </c:pivotFmt>
      <c:pivotFmt>
        <c:idx val="21"/>
        <c:spPr>
          <a:solidFill>
            <a:schemeClr val="accent2"/>
          </a:solidFill>
          <a:ln>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a:noFill/>
          </a:ln>
          <a:effectLst/>
        </c:spPr>
        <c:dLbl>
          <c:idx val="0"/>
          <c:layout>
            <c:manualLayout>
              <c:x val="4.3410915712393069E-2"/>
              <c:y val="0.35578634207033677"/>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4762258038689669"/>
                  <c:h val="0.21541263461504204"/>
                </c:manualLayout>
              </c15:layout>
            </c:ext>
          </c:extLst>
        </c:dLbl>
      </c:pivotFmt>
      <c:pivotFmt>
        <c:idx val="23"/>
        <c:spPr>
          <a:solidFill>
            <a:schemeClr val="accent2"/>
          </a:solidFill>
          <a:ln>
            <a:noFill/>
          </a:ln>
          <a:effectLst/>
        </c:spPr>
        <c:dLbl>
          <c:idx val="0"/>
          <c:layout>
            <c:manualLayout>
              <c:x val="-2.6344551597836371E-2"/>
              <c:y val="0.34339125371069251"/>
            </c:manualLayout>
          </c:layout>
          <c:spPr>
            <a:noFill/>
            <a:ln>
              <a:noFill/>
            </a:ln>
            <a:effectLst/>
          </c:spPr>
          <c:txPr>
            <a:bodyPr rot="0" spcFirstLastPara="1" vertOverflow="overflow" horzOverflow="overflow" vert="horz" wrap="square" lIns="38100" tIns="19050" rIns="38100" bIns="19050" anchor="ctr" anchorCtr="1">
              <a:no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4374172315967604"/>
                  <c:h val="0.20022591700222053"/>
                </c:manualLayout>
              </c15:layout>
            </c:ext>
          </c:extLst>
        </c:dLbl>
      </c:pivotFmt>
      <c:pivotFmt>
        <c:idx val="24"/>
        <c:spPr>
          <a:solidFill>
            <a:schemeClr val="accent4"/>
          </a:solidFill>
          <a:ln>
            <a:noFill/>
          </a:ln>
          <a:effectLst/>
        </c:spPr>
        <c:dLbl>
          <c:idx val="0"/>
          <c:layout>
            <c:manualLayout>
              <c:x val="-0.19468634067466903"/>
              <c:y val="-0.12584394257000858"/>
            </c:manualLayout>
          </c:layout>
          <c:spPr>
            <a:noFill/>
            <a:ln>
              <a:noFill/>
            </a:ln>
            <a:effectLst/>
          </c:spPr>
          <c:txPr>
            <a:bodyPr rot="0" spcFirstLastPara="1" vertOverflow="overflow" horzOverflow="overflow" vert="horz" wrap="square" lIns="38100" tIns="19050" rIns="38100" bIns="19050" anchor="ctr" anchorCtr="1">
              <a:no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3516250584153309"/>
                  <c:h val="0.19335333840671881"/>
                </c:manualLayout>
              </c15:layout>
            </c:ext>
          </c:extLst>
        </c:dLbl>
      </c:pivotFmt>
      <c:pivotFmt>
        <c:idx val="25"/>
        <c:spPr>
          <a:solidFill>
            <a:schemeClr val="accent3"/>
          </a:solidFill>
          <a:ln>
            <a:noFill/>
          </a:ln>
          <a:effectLst/>
        </c:spPr>
        <c:dLbl>
          <c:idx val="0"/>
          <c:layout>
            <c:manualLayout>
              <c:x val="0.37557465528556877"/>
              <c:y val="-0.1139399963654175"/>
            </c:manualLayout>
          </c:layout>
          <c:spPr>
            <a:noFill/>
            <a:ln>
              <a:noFill/>
            </a:ln>
            <a:effectLst/>
          </c:spPr>
          <c:txPr>
            <a:bodyPr rot="0" spcFirstLastPara="1" vertOverflow="overflow" horzOverflow="overflow" vert="horz" wrap="square" lIns="38100" tIns="19050" rIns="38100" bIns="19050" anchor="ctr" anchorCtr="1">
              <a:no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7298256969190166"/>
                  <c:h val="0.19466812269000955"/>
                </c:manualLayout>
              </c15:layout>
            </c:ext>
          </c:extLst>
        </c:dLbl>
      </c:pivotFmt>
    </c:pivotFmts>
    <c:plotArea>
      <c:layout>
        <c:manualLayout>
          <c:layoutTarget val="inner"/>
          <c:xMode val="edge"/>
          <c:yMode val="edge"/>
          <c:x val="8.5833091426198729E-2"/>
          <c:y val="0.17516313874845185"/>
          <c:w val="0.78750050524907855"/>
          <c:h val="0.61764758860143409"/>
        </c:manualLayout>
      </c:layout>
      <c:doughnutChart>
        <c:varyColors val="1"/>
        <c:ser>
          <c:idx val="0"/>
          <c:order val="0"/>
          <c:tx>
            <c:strRef>
              <c:f>'pivot table'!$J$28</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C-C694-4FA8-A0EB-D88B85E488C1}"/>
              </c:ext>
            </c:extLst>
          </c:dPt>
          <c:dPt>
            <c:idx val="1"/>
            <c:bubble3D val="0"/>
            <c:spPr>
              <a:solidFill>
                <a:schemeClr val="accent2"/>
              </a:solidFill>
              <a:ln>
                <a:noFill/>
              </a:ln>
              <a:effectLst/>
            </c:spPr>
            <c:extLst>
              <c:ext xmlns:c16="http://schemas.microsoft.com/office/drawing/2014/chart" uri="{C3380CC4-5D6E-409C-BE32-E72D297353CC}">
                <c16:uniqueId val="{0000000E-C694-4FA8-A0EB-D88B85E488C1}"/>
              </c:ext>
            </c:extLst>
          </c:dPt>
          <c:dPt>
            <c:idx val="2"/>
            <c:bubble3D val="0"/>
            <c:spPr>
              <a:solidFill>
                <a:schemeClr val="accent4"/>
              </a:solidFill>
              <a:ln>
                <a:noFill/>
              </a:ln>
              <a:effectLst/>
            </c:spPr>
            <c:extLst>
              <c:ext xmlns:c16="http://schemas.microsoft.com/office/drawing/2014/chart" uri="{C3380CC4-5D6E-409C-BE32-E72D297353CC}">
                <c16:uniqueId val="{00000010-C694-4FA8-A0EB-D88B85E488C1}"/>
              </c:ext>
            </c:extLst>
          </c:dPt>
          <c:dPt>
            <c:idx val="3"/>
            <c:bubble3D val="0"/>
            <c:spPr>
              <a:solidFill>
                <a:schemeClr val="accent3"/>
              </a:solidFill>
              <a:ln>
                <a:noFill/>
              </a:ln>
              <a:effectLst/>
            </c:spPr>
            <c:extLst>
              <c:ext xmlns:c16="http://schemas.microsoft.com/office/drawing/2014/chart" uri="{C3380CC4-5D6E-409C-BE32-E72D297353CC}">
                <c16:uniqueId val="{00000012-C694-4FA8-A0EB-D88B85E488C1}"/>
              </c:ext>
            </c:extLst>
          </c:dPt>
          <c:dLbls>
            <c:dLbl>
              <c:idx val="0"/>
              <c:layout>
                <c:manualLayout>
                  <c:x val="4.3410915712393069E-2"/>
                  <c:y val="0.35578634207033677"/>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4762258038689669"/>
                      <c:h val="0.21541263461504204"/>
                    </c:manualLayout>
                  </c15:layout>
                </c:ext>
                <c:ext xmlns:c16="http://schemas.microsoft.com/office/drawing/2014/chart" uri="{C3380CC4-5D6E-409C-BE32-E72D297353CC}">
                  <c16:uniqueId val="{0000000C-C694-4FA8-A0EB-D88B85E488C1}"/>
                </c:ext>
              </c:extLst>
            </c:dLbl>
            <c:dLbl>
              <c:idx val="1"/>
              <c:layout>
                <c:manualLayout>
                  <c:x val="-2.6344551597836371E-2"/>
                  <c:y val="0.34339125371069251"/>
                </c:manualLayout>
              </c:layout>
              <c:spPr>
                <a:noFill/>
                <a:ln>
                  <a:noFill/>
                </a:ln>
                <a:effectLst/>
              </c:spPr>
              <c:txPr>
                <a:bodyPr rot="0" spcFirstLastPara="1" vertOverflow="overflow" horzOverflow="overflow" vert="horz" wrap="square" lIns="38100" tIns="19050" rIns="38100" bIns="19050" anchor="ctr" anchorCtr="1">
                  <a:no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4374172315967604"/>
                      <c:h val="0.20022591700222053"/>
                    </c:manualLayout>
                  </c15:layout>
                </c:ext>
                <c:ext xmlns:c16="http://schemas.microsoft.com/office/drawing/2014/chart" uri="{C3380CC4-5D6E-409C-BE32-E72D297353CC}">
                  <c16:uniqueId val="{0000000E-C694-4FA8-A0EB-D88B85E488C1}"/>
                </c:ext>
              </c:extLst>
            </c:dLbl>
            <c:dLbl>
              <c:idx val="2"/>
              <c:layout>
                <c:manualLayout>
                  <c:x val="-0.19468634067466903"/>
                  <c:y val="-0.12584394257000858"/>
                </c:manualLayout>
              </c:layout>
              <c:spPr>
                <a:noFill/>
                <a:ln>
                  <a:noFill/>
                </a:ln>
                <a:effectLst/>
              </c:spPr>
              <c:txPr>
                <a:bodyPr rot="0" spcFirstLastPara="1" vertOverflow="overflow" horzOverflow="overflow" vert="horz" wrap="square" lIns="38100" tIns="19050" rIns="38100" bIns="19050" anchor="ctr" anchorCtr="1">
                  <a:no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3516250584153309"/>
                      <c:h val="0.19335333840671881"/>
                    </c:manualLayout>
                  </c15:layout>
                </c:ext>
                <c:ext xmlns:c16="http://schemas.microsoft.com/office/drawing/2014/chart" uri="{C3380CC4-5D6E-409C-BE32-E72D297353CC}">
                  <c16:uniqueId val="{00000010-C694-4FA8-A0EB-D88B85E488C1}"/>
                </c:ext>
              </c:extLst>
            </c:dLbl>
            <c:dLbl>
              <c:idx val="3"/>
              <c:layout>
                <c:manualLayout>
                  <c:x val="0.37557465528556877"/>
                  <c:y val="-0.1139399963654175"/>
                </c:manualLayout>
              </c:layout>
              <c:spPr>
                <a:noFill/>
                <a:ln>
                  <a:noFill/>
                </a:ln>
                <a:effectLst/>
              </c:spPr>
              <c:txPr>
                <a:bodyPr rot="0" spcFirstLastPara="1" vertOverflow="overflow" horzOverflow="overflow" vert="horz" wrap="square" lIns="38100" tIns="19050" rIns="38100" bIns="19050" anchor="ctr" anchorCtr="1">
                  <a:no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7298256969190166"/>
                      <c:h val="0.19466812269000955"/>
                    </c:manualLayout>
                  </c15:layout>
                </c:ext>
                <c:ext xmlns:c16="http://schemas.microsoft.com/office/drawing/2014/chart" uri="{C3380CC4-5D6E-409C-BE32-E72D297353CC}">
                  <c16:uniqueId val="{00000012-C694-4FA8-A0EB-D88B85E488C1}"/>
                </c:ext>
              </c:extLst>
            </c:dLbl>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1"/>
            <c:showSerName val="0"/>
            <c:showPercent val="1"/>
            <c:showBubbleSize val="0"/>
            <c:separator>. </c:separator>
            <c:showLeaderLines val="1"/>
            <c:leaderLines>
              <c:spPr>
                <a:ln w="9525" cap="flat" cmpd="sng" algn="ctr">
                  <a:solidFill>
                    <a:srgbClr val="00B0F0"/>
                  </a:solidFill>
                  <a:prstDash val="solid"/>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table'!$I$29:$I$33</c:f>
              <c:strCache>
                <c:ptCount val="4"/>
                <c:pt idx="0">
                  <c:v>Female</c:v>
                </c:pt>
                <c:pt idx="1">
                  <c:v>Male</c:v>
                </c:pt>
                <c:pt idx="2">
                  <c:v>Other</c:v>
                </c:pt>
                <c:pt idx="3">
                  <c:v>Unknown</c:v>
                </c:pt>
              </c:strCache>
            </c:strRef>
          </c:cat>
          <c:val>
            <c:numRef>
              <c:f>'pivot table'!$J$29:$J$33</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13-C694-4FA8-A0EB-D88B85E488C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chart>
  <c:spPr>
    <a:solidFill>
      <a:schemeClr val="bg1"/>
    </a:solidFill>
    <a:ln w="9525"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^0 Customer Analytics Dashboard.xlsx]pivot table!column chart 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How</a:t>
            </a:r>
            <a:r>
              <a:rPr lang="en-US" sz="1600" b="1" baseline="0"/>
              <a:t> long we take to ship?</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table'!$B$54</c:f>
              <c:strCache>
                <c:ptCount val="1"/>
                <c:pt idx="0">
                  <c:v>Total</c:v>
                </c:pt>
              </c:strCache>
            </c:strRef>
          </c:tx>
          <c:spPr>
            <a:solidFill>
              <a:schemeClr val="accent1"/>
            </a:solidFill>
            <a:ln>
              <a:noFill/>
            </a:ln>
            <a:effectLst/>
          </c:spPr>
          <c:invertIfNegative val="0"/>
          <c:cat>
            <c:strRef>
              <c:f>'pivot table'!$A$55:$A$70</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 table'!$B$55:$B$70</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1C19-4B0D-84BE-C674FBBF6982}"/>
            </c:ext>
          </c:extLst>
        </c:ser>
        <c:dLbls>
          <c:showLegendKey val="0"/>
          <c:showVal val="0"/>
          <c:showCatName val="0"/>
          <c:showSerName val="0"/>
          <c:showPercent val="0"/>
          <c:showBubbleSize val="0"/>
        </c:dLbls>
        <c:gapWidth val="10"/>
        <c:overlap val="-27"/>
        <c:axId val="673701456"/>
        <c:axId val="673701872"/>
      </c:barChart>
      <c:catAx>
        <c:axId val="673701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701872"/>
        <c:crosses val="autoZero"/>
        <c:auto val="1"/>
        <c:lblAlgn val="ctr"/>
        <c:lblOffset val="100"/>
        <c:noMultiLvlLbl val="0"/>
      </c:catAx>
      <c:valAx>
        <c:axId val="673701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701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^0 Customer Analytics Dashboard.xlsx]pivot!column chart 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How</a:t>
            </a:r>
            <a:r>
              <a:rPr lang="en-US" sz="1600" b="1" baseline="0"/>
              <a:t> satisfied are our customers?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pivot!$B$16:$B$17</c:f>
              <c:strCache>
                <c:ptCount val="1"/>
                <c:pt idx="0">
                  <c:v>1</c:v>
                </c:pt>
              </c:strCache>
            </c:strRef>
          </c:tx>
          <c:spPr>
            <a:solidFill>
              <a:schemeClr val="accent1"/>
            </a:solidFill>
            <a:ln>
              <a:noFill/>
            </a:ln>
            <a:effectLst/>
          </c:spPr>
          <c:invertIfNegative val="0"/>
          <c:cat>
            <c:strRef>
              <c:f>pivot!$A$18:$A$21</c:f>
              <c:strCache>
                <c:ptCount val="3"/>
                <c:pt idx="0">
                  <c:v>Jan</c:v>
                </c:pt>
                <c:pt idx="1">
                  <c:v>Feb</c:v>
                </c:pt>
                <c:pt idx="2">
                  <c:v>Mar</c:v>
                </c:pt>
              </c:strCache>
            </c:strRef>
          </c:cat>
          <c:val>
            <c:numRef>
              <c:f>pivot!$B$18:$B$21</c:f>
              <c:numCache>
                <c:formatCode>General</c:formatCode>
                <c:ptCount val="3"/>
                <c:pt idx="0">
                  <c:v>7</c:v>
                </c:pt>
                <c:pt idx="1">
                  <c:v>8</c:v>
                </c:pt>
                <c:pt idx="2">
                  <c:v>6</c:v>
                </c:pt>
              </c:numCache>
            </c:numRef>
          </c:val>
          <c:extLst>
            <c:ext xmlns:c16="http://schemas.microsoft.com/office/drawing/2014/chart" uri="{C3380CC4-5D6E-409C-BE32-E72D297353CC}">
              <c16:uniqueId val="{00000000-8F9F-4BDA-987E-55A7FC845879}"/>
            </c:ext>
          </c:extLst>
        </c:ser>
        <c:ser>
          <c:idx val="1"/>
          <c:order val="1"/>
          <c:tx>
            <c:strRef>
              <c:f>pivot!$C$16:$C$17</c:f>
              <c:strCache>
                <c:ptCount val="1"/>
                <c:pt idx="0">
                  <c:v>2</c:v>
                </c:pt>
              </c:strCache>
            </c:strRef>
          </c:tx>
          <c:spPr>
            <a:solidFill>
              <a:schemeClr val="accent2"/>
            </a:solidFill>
            <a:ln>
              <a:noFill/>
            </a:ln>
            <a:effectLst/>
          </c:spPr>
          <c:invertIfNegative val="0"/>
          <c:cat>
            <c:strRef>
              <c:f>pivot!$A$18:$A$21</c:f>
              <c:strCache>
                <c:ptCount val="3"/>
                <c:pt idx="0">
                  <c:v>Jan</c:v>
                </c:pt>
                <c:pt idx="1">
                  <c:v>Feb</c:v>
                </c:pt>
                <c:pt idx="2">
                  <c:v>Mar</c:v>
                </c:pt>
              </c:strCache>
            </c:strRef>
          </c:cat>
          <c:val>
            <c:numRef>
              <c:f>pivot!$C$18:$C$21</c:f>
              <c:numCache>
                <c:formatCode>General</c:formatCode>
                <c:ptCount val="3"/>
                <c:pt idx="0">
                  <c:v>37</c:v>
                </c:pt>
                <c:pt idx="1">
                  <c:v>51</c:v>
                </c:pt>
                <c:pt idx="2">
                  <c:v>39</c:v>
                </c:pt>
              </c:numCache>
            </c:numRef>
          </c:val>
          <c:extLst>
            <c:ext xmlns:c16="http://schemas.microsoft.com/office/drawing/2014/chart" uri="{C3380CC4-5D6E-409C-BE32-E72D297353CC}">
              <c16:uniqueId val="{00000001-8F9F-4BDA-987E-55A7FC845879}"/>
            </c:ext>
          </c:extLst>
        </c:ser>
        <c:ser>
          <c:idx val="2"/>
          <c:order val="2"/>
          <c:tx>
            <c:strRef>
              <c:f>pivot!$D$16:$D$17</c:f>
              <c:strCache>
                <c:ptCount val="1"/>
                <c:pt idx="0">
                  <c:v>3</c:v>
                </c:pt>
              </c:strCache>
            </c:strRef>
          </c:tx>
          <c:spPr>
            <a:solidFill>
              <a:schemeClr val="accent3"/>
            </a:solidFill>
            <a:ln>
              <a:noFill/>
            </a:ln>
            <a:effectLst/>
          </c:spPr>
          <c:invertIfNegative val="0"/>
          <c:cat>
            <c:strRef>
              <c:f>pivot!$A$18:$A$21</c:f>
              <c:strCache>
                <c:ptCount val="3"/>
                <c:pt idx="0">
                  <c:v>Jan</c:v>
                </c:pt>
                <c:pt idx="1">
                  <c:v>Feb</c:v>
                </c:pt>
                <c:pt idx="2">
                  <c:v>Mar</c:v>
                </c:pt>
              </c:strCache>
            </c:strRef>
          </c:cat>
          <c:val>
            <c:numRef>
              <c:f>pivot!$D$18:$D$21</c:f>
              <c:numCache>
                <c:formatCode>General</c:formatCode>
                <c:ptCount val="3"/>
                <c:pt idx="0">
                  <c:v>150</c:v>
                </c:pt>
                <c:pt idx="1">
                  <c:v>182</c:v>
                </c:pt>
                <c:pt idx="2">
                  <c:v>163</c:v>
                </c:pt>
              </c:numCache>
            </c:numRef>
          </c:val>
          <c:extLst>
            <c:ext xmlns:c16="http://schemas.microsoft.com/office/drawing/2014/chart" uri="{C3380CC4-5D6E-409C-BE32-E72D297353CC}">
              <c16:uniqueId val="{00000002-8F9F-4BDA-987E-55A7FC845879}"/>
            </c:ext>
          </c:extLst>
        </c:ser>
        <c:ser>
          <c:idx val="3"/>
          <c:order val="3"/>
          <c:tx>
            <c:strRef>
              <c:f>pivot!$E$16:$E$17</c:f>
              <c:strCache>
                <c:ptCount val="1"/>
                <c:pt idx="0">
                  <c:v>4</c:v>
                </c:pt>
              </c:strCache>
            </c:strRef>
          </c:tx>
          <c:spPr>
            <a:solidFill>
              <a:schemeClr val="accent4"/>
            </a:solidFill>
            <a:ln>
              <a:noFill/>
            </a:ln>
            <a:effectLst/>
          </c:spPr>
          <c:invertIfNegative val="0"/>
          <c:cat>
            <c:strRef>
              <c:f>pivot!$A$18:$A$21</c:f>
              <c:strCache>
                <c:ptCount val="3"/>
                <c:pt idx="0">
                  <c:v>Jan</c:v>
                </c:pt>
                <c:pt idx="1">
                  <c:v>Feb</c:v>
                </c:pt>
                <c:pt idx="2">
                  <c:v>Mar</c:v>
                </c:pt>
              </c:strCache>
            </c:strRef>
          </c:cat>
          <c:val>
            <c:numRef>
              <c:f>pivot!$E$18:$E$21</c:f>
              <c:numCache>
                <c:formatCode>General</c:formatCode>
                <c:ptCount val="3"/>
                <c:pt idx="0">
                  <c:v>312</c:v>
                </c:pt>
                <c:pt idx="1">
                  <c:v>373</c:v>
                </c:pt>
                <c:pt idx="2">
                  <c:v>351</c:v>
                </c:pt>
              </c:numCache>
            </c:numRef>
          </c:val>
          <c:extLst>
            <c:ext xmlns:c16="http://schemas.microsoft.com/office/drawing/2014/chart" uri="{C3380CC4-5D6E-409C-BE32-E72D297353CC}">
              <c16:uniqueId val="{00000006-8F9F-4BDA-987E-55A7FC845879}"/>
            </c:ext>
          </c:extLst>
        </c:ser>
        <c:ser>
          <c:idx val="4"/>
          <c:order val="4"/>
          <c:tx>
            <c:strRef>
              <c:f>pivot!$F$16:$F$17</c:f>
              <c:strCache>
                <c:ptCount val="1"/>
                <c:pt idx="0">
                  <c:v>5</c:v>
                </c:pt>
              </c:strCache>
            </c:strRef>
          </c:tx>
          <c:spPr>
            <a:solidFill>
              <a:schemeClr val="accent5"/>
            </a:solidFill>
            <a:ln>
              <a:noFill/>
            </a:ln>
            <a:effectLst/>
          </c:spPr>
          <c:invertIfNegative val="0"/>
          <c:cat>
            <c:strRef>
              <c:f>pivot!$A$18:$A$21</c:f>
              <c:strCache>
                <c:ptCount val="3"/>
                <c:pt idx="0">
                  <c:v>Jan</c:v>
                </c:pt>
                <c:pt idx="1">
                  <c:v>Feb</c:v>
                </c:pt>
                <c:pt idx="2">
                  <c:v>Mar</c:v>
                </c:pt>
              </c:strCache>
            </c:strRef>
          </c:cat>
          <c:val>
            <c:numRef>
              <c:f>pivot!$F$18:$F$21</c:f>
              <c:numCache>
                <c:formatCode>General</c:formatCode>
                <c:ptCount val="3"/>
                <c:pt idx="0">
                  <c:v>224</c:v>
                </c:pt>
                <c:pt idx="1">
                  <c:v>247</c:v>
                </c:pt>
                <c:pt idx="2">
                  <c:v>250</c:v>
                </c:pt>
              </c:numCache>
            </c:numRef>
          </c:val>
          <c:extLst>
            <c:ext xmlns:c16="http://schemas.microsoft.com/office/drawing/2014/chart" uri="{C3380CC4-5D6E-409C-BE32-E72D297353CC}">
              <c16:uniqueId val="{00000008-8F9F-4BDA-987E-55A7FC845879}"/>
            </c:ext>
          </c:extLst>
        </c:ser>
        <c:dLbls>
          <c:showLegendKey val="0"/>
          <c:showVal val="0"/>
          <c:showCatName val="0"/>
          <c:showSerName val="0"/>
          <c:showPercent val="0"/>
          <c:showBubbleSize val="0"/>
        </c:dLbls>
        <c:gapWidth val="10"/>
        <c:overlap val="-27"/>
        <c:axId val="2057103152"/>
        <c:axId val="2057103568"/>
      </c:barChart>
      <c:catAx>
        <c:axId val="2057103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103568"/>
        <c:crosses val="autoZero"/>
        <c:auto val="1"/>
        <c:lblAlgn val="ctr"/>
        <c:lblOffset val="100"/>
        <c:noMultiLvlLbl val="0"/>
      </c:catAx>
      <c:valAx>
        <c:axId val="2057103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103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lumMod val="65000"/>
                  <a:lumOff val="35000"/>
                </a:sysClr>
              </a:solidFill>
              <a:latin typeface="Tw Cen MT" panose="020B0602020104020603"/>
            </a:rPr>
            <a:t>Where do our customers live?</a:t>
          </a:r>
        </a:p>
      </cx:txPr>
    </cx:title>
    <cx:plotArea>
      <cx:plotAreaRegion>
        <cx:series layoutId="regionMap" uniqueId="{888619D8-67AE-470A-8993-77CDAC9CFB4D}">
          <cx:tx>
            <cx:txData>
              <cx:f>_xlchart.v5.6</cx:f>
              <cx:v>Qty</cx:v>
            </cx:txData>
          </cx:tx>
          <cx:spPr>
            <a:ln>
              <a:solidFill>
                <a:schemeClr val="accent1">
                  <a:shade val="50000"/>
                </a:schemeClr>
              </a:solidFill>
            </a:ln>
          </cx:spPr>
          <cx:dataId val="0"/>
          <cx:layoutPr>
            <cx:regionLabelLayout val="none"/>
            <cx:geography cultureLanguage="en-US" cultureRegion="NG" attribution="Powered by Bing">
              <cx:geoCache provider="{E9337A44-BEBE-4D9F-B70C-5C5E7DAFC167}">
                <cx:binary>7F1Zc9u4lv4rqTwP1QRIYrl1+1Y1SGqxZTlesr6wFFvhvhPcfv0c2U7aomSHnmk9jGqUrupKpAMe
4sPZD4B/37X/uos26+JdG0dJ+a+79s/3XlVl//rjj/LO28TrchL7d0Vapj+qyV0a/5H++OHfbf64
L9aNn7h/YBXpf9x566LatO//828Yzd2ky/RuXflpciU3RXe9KWVUla98d/Crd+v72E8sv6wK/65C
f74315H/Iy0Sf/1+9zv85/ubap34ZbSW5TszlUnVvX+3SSq/6m67bPPn+52h8Pt3fwyfuMfduwhe
oJL3QKzRCdFVqhlEUx8+MECUJu7T1wrCaKKqWNc0yn4+drWOgfJtXD3wtL6/LzZlCS/48P+DY+y8
DczLX6Pm4247L1s0XADmz/cfE7/a3L8DFqtN+f6dX6YPE1d0Zrp96Y83D7P0xy6e//n34B9g3gb/
8gzy4ST/7qtdVH+D+EWapEfAmk2wYVBGGH/80AHWiE8wZoxTle9iPZafwyjvUI/Ad+f3p4bsuvCT
I0BLJ5zqBjVU7RFaENZdMcYTQ0OMUD4Q44uxDL2A7Q75GHB3CE4M3WVavvsrcTfR5hiqWp+oBsYa
043DGCOQb1DUOkX0QZWjXSF+I3OH8T40yAjUD5GdGPZ/RWAW79dHkW2m6gwz8iTbQ7WN8QRTrFMC
tvvRMXi00G/g6DDYwwFGAD0kOTGQV+vsGAiD4HJAEJytRydM29femHFdNdgA4rH8HMZ3h3oEuDu/
PzFk/4oyP9kcQXrZhHBwr5Ghv6C1+YTCBxwzfSi+Yzk6jO7gjUbgO6A4NYTj9X1aHAVhsLlExQwA
3HW6VIAWY66p/JBB/ms0Qy8AvEs/BuBdihMD+GadvFtKv3x3+d0vs2MEUMYEM0wQ19mjngYPawg4
IaqKEB4EUP8D1g5j/tJAI8B/ifTEVoG1id6tUsjY/POSrqMJNXQQafQUQe95YvoEq7oGntjATr+J
qcPI7w8xAvN9ohNDW8jqGEhrfGIgrIHH9YLVhrSYYegEJH0QZY1m6DDKu+QjEN4lODF0bzfeOj6C
w62rE0RBUxsYPTploK53FTmEVJqOAGB8yHKP5+swygP6ETAPKE4MZ8h+r+tNsT5G1oRNECcYYfqY
FFH3EtzqhDCVA9xk1/9+E1OHcd4fYgTU+0SnhnYayfIIUg1KG2+BhFjr0T3bgxpDLYNphOvGAOrR
HL2A8y79GJB3KU4M4Yv0Pr07iv+lc5UbHJFHtQ0Su6u21YmhY7DZCDIoz1Nhoxk6jO8u+Qh4dwlO
DN25jL+n0X11BIAhYGYE6TreQ1afIII0FdKgj9Dv4vsWlg5DvDfCCJT3aE4MaDOFoupWUZfVMdQ1
m6jbQApKy4czY5DXRprODIoGNau38nUY8YOjjED9IN2JIW9H76y0gHzZPy/jGptQzImBn6oZfM/3
BiXAOQLgIZUCn0GA9SbWDiO/P8QI2PeJTgzzKfRmHKXtgEyohohhoBeCLWg7oMyAP2jglo3n6DDO
A/oRIA8oTgzhD9H6bnOcDDg0jWxF9jHPre7Vr6CJiOoaUvGvcPu5dzaer8M4D+hH4DygODGcF3G2
Kfx1dATljUE3Y2ZssXz4DJFGxsQAUTcgvfLw/UB5v4Wzw1jvjTAC7T2aE8N7Fm2SYzQVQRIUqwbi
+944eGacIWgbHOS5R3NyGNxd8hHI7hKcGKyLpDuG/0UmTMUALH1KbQ/9L2gjAkNNCGMDt3ssP4ex
3aEeAe3O708M2fNNcQx5NSYafahZPOreree8kx4BR2sbcSENQ+HquQEey89hZHeoRyC78/tTQxba
xo+RxSYTAA1ahH72/u0JLYc+bkiMYTSEdixDL2C7Qz4G3B2CE0P3YlPcQV+5eYQufE0lnPxqzd5r
31UnOkMcOjv1Q27VeL4OozygHwHzgOLEcF6uwyO0D0B9ApoDoDkXGoIePgfqExwZiDA6KEWN5ecw
ujvUI7Dd+f2JIXsDOyuOUVGGrJaucQJdnE9lxmFgBMlMigyi69susee2dzxHh9Ed0I/Ad0BxYghv
NzRk6VHqixSUsI4pdOE+yu8B/4oTnTJYA4eKFG/h7DDWeyOMQHuP5sTwXq7LcnMEbxp6RHRo2mX8
Cez9pBY0DsDXOmyq2ZXo8RwdRnlAPwLjAcWJIbxtXLyAnXzHCIYfRJpS6NB+lNi9jj5oBMIM6Vwf
ZLLexNRhnPeHGAH1PtGJoX2xvodOoCP42GQCfUCQsYJNcg+fofbG6kQlUG/UEQRXzy30eI4O4zyg
HwHygOLUEN4k0B7iH6XWxCcgq5xT+pSf3gNZgx4hSjSND5T2xVuYegHnvSHGQL1HdGJo3/ib4ijy
DNlpomrQEPIYEh+yz/ClCjH1o8APFfhovg6jPXivEVAPKE4N5/VdATsgk+oYZppNDArbqGDfxQtm
Gk3ARMMfSH9uP0Os38TbC3jvjzEG832qE8MddutXm2LTHcViE0oo1dSXYmo0IRBSE2248/UtPB1G
e2+EEVjv0ZwY0qtNvT7KBmfo2yWYMk198sz2cifQPgCbrqCvc5AXG8/RYZQH9CMwHlCcGMKXxRpO
LziCJGvQNgDtIYy8sJ0G0QkzYJskGWru8RwdRnhAPwLhAcWJIfwhknDq0REQ5hOuEQpdfU9NXnuB
tDqBVAn0bmuDJq/xHB1GeEA/AuEBxYkhfOOXod+l8p/HeLv9UUOQ/fx5EMWwCAk5bgJb3Q0Io3cj
6LfwdBjlvRFG4LxHc2JIX/uwZ6r074+jsDlTDU176iTYbyWg0GtAVSg3D5Ilb2LqMNb7Q4wAe5/o
xNDeJv7EBg42O0Z8BT1BBt7ueH1Kg+5JNsRXKlZha8bAA3sbV4fxPjDGCMAPUJ0k4kWyLu6PkyyD
PTWwHQ4x7akePfS7wSvDcOoMtPYO1PnDUnwLY68BvzfOaPD3KE9vAWw33kTro+TPQIPDuSXQi/C0
o2qv5wRNoAUQQdg18NhA8t7C1ovY7w0yDvg9stND/Z3lb9xj6PmHJgRqQAv3sDWQwv46jYEueLIA
+xI/mqcXAR+81ji4B0QnBvZX+f0Yta5tGQRBFz4c5fnw2es0guMroMuIQe5sF+ix/BzGeId6BLw7
vz8xZLf+yRTyKXd+eZf+nOR/5sReCscPUdDNj7nwPV8NT3Q4uNhg2gGz/YujMeHhYZB3XuzXMCPQ
Pkx4grCfpetcHuuYVzjkVccA8MNn6LHBsTSYQ5cw54drXrAm38Dcy/gPBxmJ/pDsxLD/BNUveRRf
Dc6Vgkqmpr60VXp7cjOHPVlEHezZeANLh9EeDjAC6SHJiaH86P6KdfH9OH65vlXf25OaX94uSziD
04ngIJOHz0/j8nQu+4N3/gb2DuN++C1HoH+Y8CTXgFnI/pcBfOwY+icMPDQqUTh7Sv15ysnQV4c0
Kxw2CT7AsBz2OPVjuXoN950xRoO+Q3VqiHvro5yCAW2mcPIrhF7aS646nkBcpjJIuw8EfTRHLyC9
Sz8G5V2KU0M4jdZH6UnbXrsAxc9tI8PDZ68nDeRZ59CltJdcHc3RCwjv0o9BeJfi1BDeHhZ5jPMP
INzWMIZD5p5M9p7GhkaV7RrYa2C4Gc3RCwjv0o9BeJfixBC+lXCuWnyUc7zhhg0G2XDA8AUpVkFP
Y4QYHqRU3sLTYZT3RhiB8x7NqSEN96jAFUj/vPsFBpnCXlsIs5/c671OBgydDHAsApwzuGuQb8ez
9ALOgwHGwDwgOTWUJRQ/jlHfhv3Umro93PUFaX4IqLflD2NPmsdy9ALGu280BuJdihND+GsaHaPQ
AbcuUDjgAuR0UOiADBl8QRGcJrgrvWMZOQzrDvUIUHd+/38A0tdZ3Hnh7d1mf/2c2wPx8NtvqIMT
PQmBdMhhwwuiShDsu4WKx6F8CByn++tmvRdj9MfL/fbup3tOu/OOj6/4+qQc59a5l2+k+3XNn7Wu
1vbDBYHPLqV7/duHRQ13Gw5In7ZBHQDx17k/i/s/38NeGw1uHgND+evuwe1AO5uoIDfxM/X8c23s
km4gvv7zPVw4CI2CCLbvEAI7O6C9CEZtNk9fbatWxKBwXyFkSMj2lroETvr34BpDNoHgCsw2KHU4
3EbjINxlKh++2m7xQ0+DwdZ649dFjh/SqHPT5NfMPP39XSLjD6mfVOX2ekRQ/9nj77bsGnAFz7YV
mUCTmw5HNsBxDPD93fp6e+oFTMR/QWkmblu9Ky47pSYoE1ii3BNJwoIFkV5y6evkwveotyJGMXN6
YlzlXchF76rXmqNfh4XcpGqWi7b1FkFdn3sUTWtNLkOMTaXuz6IELVmCrB7Tyqz19nuXaUs16iKh
yXiFdTZ1XLosPWWadsoVCbyPtEs+G21lMiffMJ2JAjERdckilKnlKYoriKctDOZ9KrrGVHT1qguj
lex8q+bqqqV1JThpl4T1M6NAZuO7H43cFwq8kR0VzXfuVxcOD6dVoX3T3GhWV9VZ4pBppfHzWs9X
jueteNpOea+brpetJA6EluYXRYs/w5V1cw+hFe86oYTpZYCCVaogu5bcysve8tT6K/fLD54nL9ym
M+uUzfRG2lpEVgXO7JD/KAuO7ThopOlJedZztnYaKnyifw6CeqGU3KqN8tpz+5kSBFac9YJkxU1X
dqVwWv/SNeg8pI2FAvLRKON535XXMau+J7hdKSxZeU6+rEk8N3p5FhfdXOaloG72gwbZCvql7N7h
C83Vr6lHM8GUbF7RJBF61FyEkioCdfl57oRrLdWveUZMz3c6EUl6KZVq6eLY6t16UfSJWVLlOuDt
AqnOJz3uPrpcs0niI5F7vu2ErS48R81NGucXPouaKWny9irqpGOlPlnTmhezLG9nLDOk6bbZZ4wz
T8RN+z0BN9YVReGquV12vOltp2RFMA944i2qtCiCS73vW18EOkm0WQ1XkE45agD9tlwYSqrO0lxG
QmHZdZhW2VlCitos89AXKELaRWv0tVV3KBBR66eCJy62HK0PriEYnoVYLYVRufMgQaUF55cwG16p
NxPc9yZKJBVBRnO7YmpgStroc6dODKsk3Y2vd7lVca8VjkbCaS+rzEyzHIvGLT+yolLtkMhOBBG+
8lmXWX3wozEcT3AF3yrYuUuZZrFOv+yxMdWLcJWXYWOFTW3qkbPxe/2CBdVnpQG6i0JWtQ2/lWae
yVBoxLX9OL3CafypkZVvZXVZCQcucDJ7Tw+tINO/u26VCLVIOpGVubRKna/8onYFbYN7rshW1LqM
zbr2civEbONm/FvS4Y+GQTbAvyeqVC3NrtMiS8s6V3ixlllGEngiCx1f1BmaZ1Fhacy/rL34jMXN
J73tfkiqngWcnemp509bRdq+633ye2zzOMpXndPk07iOPNA4CrlII+cmyTxXuDwsbezVmiV1LRAN
Sr40QQ+znMf3SspSobZNYVHPTaZB2C4cJZoFKvdN3tdf+9TLRVS1l75Kv3t1+73V60IUbQzrlpK5
RmoDKKO5ywpF4BxPWRb1Zq7hmZPiL1XuUwFqysxLY+G7shSS+F86V4PBFf3Od/LYIjwQXFbfFVlY
JSad2TqqlSfOZ83Na7PjJQwgVVMPXVOTCjb1qpCiL7Jbr9FiSw26zm4J4N46zhctUqVwMofC+tKm
eajkgvMGRNQP4d7XFMSyaFgJ7Gk/YhW3s9pxuZBGIfzQb0QT5wvf7wnwVp9lrLxsY78QXS8Fi7VF
46krr6o/Jap6VjWsF5HCufCVLhBSbZehp940bnVuJN4t6qgq6oBYSRHUgumNZpFWWfqSIZF04cfC
0w3hxxm1IppF8sbzwmRaNKXrmUrq6KLOK9VUgtpb6JU/9aJaF4nKlJnad7XokswXSRmn01biszLs
rrK4TARFbXTlp7VvPr/Ydse+3aVZV8CKebqr+Ndf/3ObxvDfw023f//j9qrjv/8226Tb2lI5/NHW
F/n1q79vy93a/l9X5w48isf7kl9wN1798g2+yHaTyWu+yNMlhUM/5JHslx8CLa/bA5kYHOnB4E4f
CCR++SGQkqdwD6eqaVjVEIavfvohkCWCXC60RuvbCg4k/Xb8EDg3E7pu4IgQ2KkIVwT9nIYdoMAL
O+CIoO25XruOCBySDNum4BRGAvVCKP7uOiKsdXMumScvAx/UNou4flEk7TlLotw0ZPGJgBTnQRXO
k5RG/cZLy1y5kmCIu7z3TbZdUdzLElHBIqtc/Szdrro8KkHxb1ciDZEy87erU8+8qRvCem22K9fN
YA2XD8uZ13kyjR8WeedmX7nXpUKBPSKCVq0fmBku9bO6VfozI0tazzE71vlnMgqtDjvKvFKKHy5P
etNXVGfWoVQKD4V8EUm3/pRxxs6xT8ILpiXZDPk3mdS8zGZxp04zxMB8FYpqgV1MrFTrNSuKfCzw
gylE/DykRWXnLjKNCldTo81WzPBqUWspn9ZR3wrFqdpp6SXNHCRzhcqSm1WSfy0ad9mhxvbUzsIl
vlB197zpK9DoQSYF2PZcBIyZjSylnQDCwnWUyoaHuT+cJiXfuj6onWlugEcoVaU3mVeiOS/ktRdq
NyxQE7nIiKdUVz5K8rmRZ2aSe2SeG12Z3JBK5YXwpENroVFHn2moqQNhOMaP0JHNYrvpYyaTMLT6
OPnQBeWK6GCvI2+Vq/icVeARls2ZEhMr7d1pmYMJC3rT8LP7JsHXfsW//r/yeAhktj79q4EMhDZP
9fWhCoGoAIh/qpDteYsYkg0aJI0haNnuUP+lQuDwGApiCxoC2nUgdP1bhRgThKALEy5C4AziGR0E
/2coo4FKwtDjAUfmQzs+DPsWFQLnTu0qEA6HgMLhJjqFO4U5HImwq0A0DylN1cX6you/9eWqbR/X
x+Ol6QdUlI62sdBOrLS91FSDcAyS4hwuuByoKOmUeuUYrVzJ3rDBY/3RZfoqcoJro6h+VAWyiqDw
rVjXcgspyQJTPi/ywJY0ywRRSDpLG22W0GKulOptIL2pXmb3SoR8gfkSLHtrllXYiN6LLlGNjHCp
1VWuXbpxmTai9WvhwiSahpfH3VRLu74UjWosWq90wJtULzQt9ojVVT61dN2P7nMcOSLsUWTrJYY4
SnWVL0GkxBYP9TvptfG0QtQFZ8XLzxFvUuEidkkzqtgRK77wwtVsqBCBl6frzYegbZDQcFpNUQF+
WVck53Xhf4MwbwmXPFucx92ycet8HiXpPEmq3iqc/NYxopnW+xfMczXR98k3RW0MgfT2Rxwql1XL
U1HGfT+VOrPcrLqhQSwUNVtoOf8Wqso8yeRZlakpWIDuqg3ZWdC3iXD7wkJVeJZTunZQ3YiKBnOX
K5YM/XVVOrEoKeh5g80jN7hUeiBPGstz8NcydM+4pPM4N5Z6khtWgeuLSOstEmt2keVz0uVUpDr/
FPh9Ne/D6EPhpKEoe++88tWv4NJXZqcEZ7qi31YRCgXuNXDCe/3G15LU9MrWsyXzF10EMacRGIZw
AjJTc78UKQm/SZ3bjVqYgIUnIGSvp+DInrV9YXK9/qynmtl4xoqU5GtZ9Zehr197sZMI6cQzqtcX
XlMs0q5ZuG3w2avBFY95M4/qZunh6IagNAbFHn3GSfkJOfQzceQ0LcgZ642p0hbfiF5loqj4TNHK
rym8PO7idqZ0/X0YUbujnlk4hqWF7TJrAiZk7mZC7xIYlJVY6NQRLqHfQAqmgR98dR0nEG1ZBVNF
Slg2+Y8uDeasCmxdy77JQv2qKOpNScHGhE4A4Rk3VSP63ofOVRijXniduwyDIpwhNwuFrtBbr+fb
mMYzXd8NhBrH3zmKIXLPPAh4empcsLZMznyf9JaSodoyyE3A9S8yK92pgotMRNlWeoLmRkXBuSIz
Bk5+k1tG3hZCQcZ1yxTXlJ2MzmtXDUVLtNLmUVYLrPuO3ZRk5VaY2L5BPqmEuRbPHfa94BBvecig
KUQ6RIJ8F7VTmnGnQGgc+LW/agufLPOMqBYEU1JoYeaahQJ2LYhSz9I9WkAIrah21eulSConvE4Z
wZWIpXqeEUMwr8OiyovzCkKXTM/KRSIhgEZaEgiE83JuMMhduL5cEuTWogyzZIZ6Y+a0Pbf7FiMh
9Siz0ypPsYj96JJGahSakVJe9TW8seNkd0bffSocbU1DsNMaugg8FJscKYrVRcrSgch3Gx8bIiRG
a1ZRGt+khlRAVKkTfZZhct3URWNiTC51nwnQLGYR6JZGkbTSLDmnOQWFiIBp2lwlUnPNDPILoKPO
3NyZR1puBzV4UH21jAJl5hnehRqpn0MIzTWpnjXciWZJG37TA8cQpV+ZDXPIOapUiKd1n37PGoil
+j4HZ07Pm/g2RHEzrX1tptHUN7U+Z6bH+hBCJ7+46Fm40nA2D3l5hXJSmlFZijaWiegbwwKVt8DI
kbarkWIRdfVHomS3MY5NGQsZWWUhPbtrqpiDzpFnjUrSb4leKaB/lR956alWJ4tIwON0q8iIfplq
UdGZXUjreR149SyBdMgMVL/32cnhCVhGt0ms+RYkCvmZ7IrgLArcVcINYkbglC9kiD2hp/TWyFMI
qfVA70WMy9zqdMeZGmF+S5zuliVG/6V3Et+MZFpODekiQZt2WnUQamVqnczSLk/NCAhFURvyS+FH
bNqCh9qbkd94YJW8aq5DvkKETTbVWFxYXZx+JXW2SBqIz2lnyzK9VDt6FubdR9UL7NoPXZFm3kcZ
4Vsmc37edm29SJWgsFIn6sxMBo3IVPUrdPZpltbq+RdJMmRladyL0IOFTn2ZgXOqfcEtr24cbLRT
JhVuBlLt7GdeywHzDJHIM+PMtkEKXLUErgaH/SBwPwdETM8TmTiOoSnJDZJVFQaW0fYLgzRXTVFO
X3/MNuI58Bwd6qlUg93De05ARfs4dL1kFUfRRUnwR9BKH1gcfwN1WYim4wBAF83rNptGLJyX2Ft6
NRYMJ+egqZaGU4qAh1eeI69JrtqaJ03JK5G4ziaVBEJmEAG9ZyuiuuvXWT/IOexoh8qCbsBOWMh5
P58hI5YpeM1hsmpiyLN0t2oQm166fP0hHHpDducHttfB0aF4m5qG/fPbvXbPn1LKMOviUNarzPVK
iJ/0hZaCYlCdHOxGXRu2o9RflCxKrxIOa5Cri4Y1uki7DBSVpl71QTz1lF5eSU/jNwlYJZnWK0VF
EUhJA6YcB70wUnflK/5Z60A+pMEgNyRuItFxo782ULQOq8hEkevP+iYXTomI7UV+aIeVdqcUGCKo
QpqglYjo4O41M821WeAVoQBTBK6NRxZ5jze+TtctRH/SUH3R0uii6yGSobRT5ipqggvVy2LRt9ID
vwnybh4PqIV895MjUXybNwbYD+QujTgzpiXJqjmBQKxOwcShTBNdQEM7U/GlodLEavvWBX0fLR11
LfWpNOgC9OJXpkQxSDmad4H+NdIKz06ypBcZKYQG0WKvg+sBgWhoURdy460Sz4sqNkSM2jOp1uvQ
x95dFxkzlUDqikbeBU57yLuX+dTXSsgl4fY6JiRacYkEIn17ntPy4vXlADnRA+sBBJLBctiWGrY7
tZ6vB0dT0gS+q1YU4bXGS8jFZXW0IgpkpkGffnNLI4QUkWci0lrMjwoBGvUCZqUXjhfSOXbLi0rp
RdPjCyNlXzQ98aZlbORTKVV9ERtYCtcPY1GzmtlqqsdzDEbdapCfW5DoA38EFJEap4npG/mNG/ut
ibwyBWsAKb4KShdJlk9J3N8VKVlzbBhmjVJqFjH+SHAHvnPnWlqFLAIZB7MwlBDycuRLwMiicfA9
oW0osgbUAI/mJGlvHR4saV2YeardEKODFZIJ2eEbo64vwsC7yX3jOqZ8RrrqCwtDXYDfqNokl+AL
5rVdSsj6MgOyrlqgWKqDwXIQZa3AmjAzrn1FmvIFeXVu5VWv2R5Vp3WvQAKgTW2kFzNVDRY8qW2c
QrLaqy09hBwHY805LQKYkroEM5+ZMqputSZbcdYuyrRba416l2uw+YcS2+iAT5lYYR1epl67pAmZ
NqlueRRyIH5CTcz9qzBTwkXHejstO5tEDhQqwKFJiQtxCQhjrfAryK788KniCNpBQlQG06qSoUlK
z8JuZUI9e0lKbeZrOaCE3NjW3d5sth5qKL2lghw7RM3nNK2Eq/gfDE8XrpdOcaicx2DFvcadMxR9
rbNymrsi4QtdtxACqxk5zbQC854UcWZJJQ+sKFRmQcPO+yAUlPsZ5JTdxixVULo9RtMAyktGwz44
DM3dpDp3m3yZMAO83ipSLqOsyeZdRM90tznPcAC5qJQCNpkPpSU1mHtZc6GUECVExAy02E4lTUyn
+UAMm4YN+DGruJ2SbppCsYDWnzNVgfysegHFtMJuHX0ZeE0pasdxziWuqVnCpVMmDZxk1tS9lYHf
ME+7qrQ6QudFDV4ITatWUKe2a6dAvzFtv5FUbVAKxB7vAp6FckXA7tflRZy0ZlvHwmkuw+ICQcTy
um7YzfiBxQZL8UwzDDN+2PMSiC5AM6TpBtH7ur2u+TJxv0Bh5fUHGVub83fg/vgkuE4AzjpG0Laq
G1vL+KzI2ZRVnQdq3a561Ll25rel6Tv41ijddOGlCqy5tj7PMl8VKVLRBcuZIUiQKhBM9KrdwLhm
iZQfusqu2kRjkHiTnxQ/vUxVehOB+wZRj1mV+KZ1y9ZKKncaV/63JNA/K16UXbsyrG3D86pZbMhz
I1AFOBZ2h9TGBBdvllQa/cwxv8n6yIJMypnUqoWv4fPe7RZGxi+b0D0vwGxTJTwPcQLCpAjFY2ab
oc9xVth+5CyaDEF1qWWiMuJ1r3aGGTXu17zlxWfsOpWNS839zazu5lv2JxXauZ9Pakj0xC8c1q5Y
+83rv3fs7HXUfjf+wHCoSgQ+sht2K5/dZAEXufbx9Qfs+UOw/p6tim0DzfMXiEkcqiF2u5WBP/g6
EjBNqtc9liRezBptZ2F/6cFJUeCSwh5GMlh6LS0br9ThLTg2cXVXNTH4JB/9lv4GDby7xqGQzw1I
08MWWUh+gWu6vXvu+dt0gZ80bp/hFbgxd2DUrNto6liKXQvf/CwS8XlBzHr5/do3vU+tvY7s7jtI
dDnXFq/P6rY9dO+Nn4n1A6PPhI3XPs+4C2qkmtaWaqp2eyNn8ZU35TY3o2KKZjDPU2QWQhWezaFg
aeur5O51LrZtbXtcPAPX2CqfZ1xEThkxXMC8f2kX2KaimvIPVFyWUJi2Zp8Nc0mseMZX3rSdJzfG
/Nax3Fk7B70n+lnKRWlB6szilrKU82RWXnoCaruu9SkVcqWa3cxY8EV6Dun2j/H05nXWtd8t/IEH
reDSjzLFh3UpUpFNy002zW6RlZuB5Vie5dtQpThLZx/ulrZcGCYE7MEZlCXPgpVrgvGxSSjuHfPT
61zh3eTnnriTgXXwoVxXUAJceQsuPLOfxzPnNlFFCLVKQYQjChNaBWZslc/xN0ik2a8//7Cw/i1H
A20DqkbpyqxrV2qf2rRpznslXNVSTX9jlLZa5TV5HWgd5jOtrvuoW4FPLermTm3nDfneaXauVpCK
mr7+Voeh/vVWw2BSiUH5G3kgVx4NIfK7ztyr/90DBjGf1rKIkBgCqNA4xwHkATm1Xn/Cb4B5aDB6
JmhKnLGEdiBoabYq43Ca4S+9ZL9B5XfzNFBuJYrKoKZBtWq3qPSRydvA/N+9x2CBybQvJVSqu1VT
t6ZPVnHYmn384fWH/GZ10YFWIo6r/Dd7X7Zct61t+0VMsW8eL5vVqpc7+YUl2xIAgmADsAH49XdA
jrMVOYkrVefl3Lv3Q6p2ydLiIsGJOUcHA3AOu4GOizDrKt5O10EwF4lRRbP6Vwthv7h1f/l8cJIS
JGgw3GaWfnldCOHTCuqBTfNVKJ5ls+MBBci3/+ev9ZeP59VnvHlpWpIpZ6ShvoqaEPj9rRC/QBV+
9QFvSuLGhQ6aflyuXBRtgNE8aH9xm172x3968e2G8modUwbSp26xjjEb5GNBTsuBX2JEKE6yoBW5
nnNx/ue7FvxiNcT2W7/6SA/4nzf5FHvUJwDDHarqJcFn5+ujd7Edl/xmKwb8II8qUXh5euvkd1Nl
d/Wbh/EmOGFqp3lTmSk/dAXd/+ry/nIjh1bgj9bl7cphcnW9Gi+dd203cidX+zY8dl6R831Yfuzy
k5ub87P7BcOZfG/OEKX8onpBQ/DP1fjNc18cFdMxM+glyqXcSrOBE8+zc1veZVfxRbCfywd/V+cd
ENsdFGX7tHB+UaF/dQnJm33P0bMTduswXTnnPtclkM3mW7TzyuQ8P+nDUImLZO/snWfyEBR6z69J
2Tz9Yp389db7x4NI3qwTvgQiVB2Wptzp3Zh7ObNd3ZEX75ajPh4hwcq3q0nkH91dX4rdsE9u5lyW
cwWNQ04/t7+olC+D2U+vyn9e9+jNLUmdDNwQogOuxircx/u4LfVu220X7OzlX8mx3vEiPQ4HgHoX
ukjeVym6g66a9nx3z0rbJPzeHPyuDb75/tnfda2v9Tmv5Tr/L+p+ItC5r5bKTxrkyx7nDvxM2dtf
ekXZZ9bnhaTaCOibbZP/oOwhCIrAlVtO2x5fjlX1u+oHwZiYzcHxRzjFGrg6tpTfGXv8BJFKLylb
mYtjg7A0/oXox6oCXjVbmFkgFYCAKPM8H3/LT+3r/6oAjv0YTilt6M04N2BrR746YE2Ta89nFHwe
cWpnq/jQr0A852Fzs1KxJKzBcetJ7iBd9qb7FaRY9gyl3EE6XVA/Dlw0mNnXrnXO+NKqPnm0MV5F
NmiHb0LeMUHzMaTDUnhAQKF+3KKtBa+isprRPOkSsFeLieOpmKEJTg3g/DnBWy/ZSA8JQENoDJvI
yQOdyOgwEpk1RWdVbfG4tvKahO085nNg1qQiqdvHOU/j0t2m2XmKWDZ933r/P1v6rxdxhMSuf1r1
r00M3w0QL0r2l9/6Y9kjChCCNiS3+gBssYhfLXvkUbhIk4mB1mDl2TX5Y9nDt+yBREpd67zwPXte
7A+liv8bwkMhLUFqCTomnDn6b9a999O6z2IoJ6DGgx4mQPrNm3YWyC3EwfOsr7o1yKplrekA1BuU
QAFt93IbO5E5NXrpeOW6fHqY+nB5z0Olx1xl3fjx1d37vXa+9gD8rLwDCuJmOI4TIpwQtnx7ta/e
wrAzA88oGBt/7LwrwreuzuekjynQvwmz8LKG80OyYCTNJbTmYzGCtid5vUFlUeAg9e5bNk3uNf4G
nUu/bb33W+Sk3t7EUf3kGcfTv9qT/9wOWqwDKfmI+wIqBvcE6tCbK2YJxbM101WgI0KgV93a9wss
6cFuSkwf5YvRXlOypE5zCH8Nyw13g71YpIFGZ+mnb1Qr5UGpN0BYPGGyzScB7X6OF5qTigDCvuFz
dhIqo6pEzkH2QUEjw9s10hVTkCszSRfxiybatlP/2VXtl8KR8m6CBxFjbQT+m10evBJZwYupK0gE
sg89ST2ILkAOD/kAPcDNqiUgwtprP/3z4//zfAB6ycPhMhBmZT7WIv5jL+vV049cTSA5IN1Vl27e
lcfpfNUpWbC0ph/++ZP+3O5+/6QMqasJjhhDklv6Zp0NXWi2UdL+Kh3c8HFce9nu6ymF+IEPtHIh
29+KwDVpDyQ9WsWvFs2fuyj78VgoVp4WwO6C6vDm4xFnwCC2EewqGXn0KJo5euStvYZoE6qKJWAM
4+LR79d2XP185H3yNLWZOq6ZCS8gFpFuEaxNz4sm6cT7QA5+UNLUmKfBWYYS+kiRFFHWhxIKixhC
7H++e28GlJfrT2zZAJnuh3hX3/TCbjxHXRTVzqUHOdAjk5MCZ+jwqQOFZExHTitl/AtJs+FCbyPd
xX2oWeF7S/IMzhoiKENJUoR9szwxGQBvjwaa/AqzjX56yAEUcgH29Ay11QKRf15OsUyZK+kUXDbh
ONRZal0R215POsh20zLPhdSje7sIE0EfSyl4Ng/4GtQ7mC0Gv+DtKO6GNhJgOYBgf1wb0R+NmqZ8
gLz0fax4WtYQ3IMUbhqWsymABKFuFEjtwVHXowNSjBAPMn0HaglR+HAkHKJ4au/8htwQ0wXa+lnG
qwnqtMkXDtTui48byYyP2hDO25a7a9pctDRKH2p3Dk80TjGOEb1kYHxoKAq81OzopNII0P3pVnpr
5MCZob/CXTHdQygLgmgVU7Kr1Tgfw9r3343UW/m+Thxo/TbK6y+IMZXo4bvR+TyLRJTDoPwj77vh
6I1Z+41BaoT3PhD8nmW1TqCyD8lJ1qCtDe7D3gv97BpKGF2Fqxx3nqe9pWohVkDrspJ0LBaf1pVQ
AaYAMAi0dogLfqyfDthq/LXo3CYGa5G0n7Rw6dmX2XAfBVO0n7PG8cFXi+0xjXtZKVc3227hKSRW
WruPvmrXZ0WGISo2f4KBAQaahez01PR4Oda1MmSZ053sa1q2UyCg4BsiGLJC2eNGiwWspGoap0is
6ynpodPIw6mti2ByOrGXMa9IOBv3dg28sGRKum3eYCVNu2BaM7XXQQJrF9+2tr6dwTAKkRsGc5j8
Rmvq+9uDWh2doMHLJEp5/xUKt2YK0DxO8zy4kIZMgHVOGRu3/QIfR30UkoERbPy2v3cTJzg2xqIx
0LpAOmlGN0N3SEWall1dYz+cWr6OwFdX4haynbz6mo4w1fUHbhJobIxuswm05hRgRa1176m1gFTU
2cUOberrBa9OTIoxHVLL9nMldl3LZJa3IzavutILiwunhnE0AhbodmHRQ8sIjUY2r/VubZNWVAqW
I76LOiKgxt4iVMzO5/ACCSqdFqSdIepGMUeAiSQsfXbmJWFu6fb+tGdhOqdXkVOT+tQFyZRE6Fu1
GjdzUEjAh7oAio1EwG+1bOMukwrOKtPGwhxcpcQA4YVBm5zoyLR79MLMKfBY/Y/OIDavRPI6hz2G
CxecaeM6MM9MXfexESITxwAaurbidIrv4IwKgl3j9L53pmBGEphBqA9qrJbL0N1jMw5ODdl8vpsH
XAFEbS3ZKqj7oQ1MGwO2VaQGSxuigkGWtefNJxlEUVuSOiBzmXQLHidLoPPMu60JtqeW45jbMsUF
iDIwgo6wrLHwQFjC48LnfAxK1rO63OaaR7mzyiG7aeq1CYuAjVCaiKHZnLNbt+HOG2oCMwDNkqHy
DN3AHTJvJXD1hRQ6KPy73MtY1mH5kGAs9MogW4B1wPkM6xXcjTnDe+RfeVvHNpanS+gE70y7+iBc
h8z0ZZeN02U0d9iSiEo4fiETAe4WxhKve4COt6On0YgWSv812jBsT2R6FzZ+9BjpWtR56mHx7uZO
J0Gl4o3h4mevESWELlwV6VpXDJqIh3Zd0Vk0pFnuFTRSXwZJg8OSrKSuUo6RNO/SGn8navtG7zq5
eFeQMAThrZoi7503OfgXa+yotJhgHdLV4ouGHaT2/fXYJUT518xJMjiPRrs4m2ZU+6RVVN1og2Gv
cEfQmTldO1wYxANYBtjBsg9B6mJ1C1RJaY13uj9OmMf8m0bOnN/5aZeFRx3CNnmJ0c82n9Tom4g7
sa76VeCj+37bllz7Ytr2Lk/sl7eXvqI+4boG4V2FUYdvMY8RbhXlPd+KjMP4Vgwt4ey2kwleeTmj
KyD4GWqqP3X0evTgje3A91MXj3uVer4UDgUqx9x51DttVfKVWUbfFg28TAW+EQqIzjzbJ0+d+FD7
QXZKFwbZZEoh5yu0IfHj2gW4DC0bcxdM2lVngja3OUNLyZv7FLvFXnWudzVmZHyAdD4ecxpS5p/6
lGTzuaY9WUojkxF618QE+wFCV164yWi+8pZHN3pWbn8YXbPwj2ssiDqI2hHPZstsDWFjCxVGjEm/
Yr6hajfEIvsI24rYiXUgY56EKHNGrvSO9ZM6Z4I3URn50oewtY1CbEfUzz7IxllI1fodXpMNIj+I
MLreG58ECrI5weiDd2O1FbvCuIw7qpdtqbDJrJCby9mPizprpwU7bbC4aL3H5rPMluydY9CmwxkL
Qf23SXUwvgq4iZYjW338KS08uhXhSmJyHPBYYAHmWbzb+mWZLrVJ2vtmwYSeJuoQCr1Eh22N8XC4
66ltP7S87y+7WIcXzuSGfUXHTixnYtaBWtGNoO/QiahvbtahjKB0qgU6RriD8mxd0hG7gBnvWzJ6
7JPXb0EK3A0dmHk/TIGT4Y+pWkKS40Bk7tTD+oUS11mg8lQxP7LM9W61cuptL2HKZRXbZixS5k9N
cKN5u0VXIh7aNh+HxY0vQw9wemHQ3ahqpQOe2pp2DMbYLYEkOlWqrTwdaFkurZ/K/ZaOWP081CQp
TW1g16wHFY8f18h47yBtw1rDTpd9wFoX6qbLOg8F1h+yZpfCMwBzwfzgp/MKyx/nS/I+8rtxLSFh
m8LLsG7T5W6sVSaxuWNFQz8Bxe0Og4PRFyyYeH+RyIEGN7522/hY6z7D99LaIZdcOsNaClWjZqAb
m6fLtq1x/TLjcPTQlNNy1a57NGOI9x6YSwKBb02T7yK0/2mM5JJB4qX65+mtL/BPOOP/NvNg5LoY
+f7e/1PgvLuXjFfEAb6GYb6HINjf/QGqIGoksjGdSCOAzBZOvVegCjKaEdANACHDQ8K58X+AKkgy
8ADtYVD3cYw4pphXoEqCI+RTwD1+bNOHEpxT+y/ARMxybwdohCtgb8DfjHEF8Qva+GqSzUSyQfoW
LdftAuVjXcixd0+t9sJTt2FaKJpYvDcN8eF7dpBJgOmticSSr/C+0s6BAH5q3mm4Ynmq7xe4ZE0N
m/hAYyglrYUWGyo6x+nDCo4wgcc2YnEetHWfj3DfDlqf4mGOC219uVu75gKq89Vadusk03sJFy/k
yVC2vxjZGCy+eI38Slrb75ZC89k0Kdze6KgzRR+MNQmrNjRVBktT6cJBHMbwFkD64xfAKIoAaGgB
mXoeEhiPJRzIbeaVcC+YQipVRmz9EsMd3ljTcuQlX8cmYcUCP3OMXSoHtnIENYwtC5Zn9GKfYhLu
02TYIF0LdhSqyTxAuIBvDdPIMDgoa6E24QLvMVzVpq+/CFgVXGu3joBPMWvAFiHfcziyYfXpdp6G
SVsuTp+nZPhG3DAqNZzcQx8hTMGau+t5eoprf7uCJ/iRDRH0bxHDMBj5IqckrhDX4N35KpFliFEC
yk1sOr3S2X5d+dmLxuUhzRYZ5DPyNHYYaYstTBiUnkm/a03gFi0miyql1IWhfINoA56YS+OmuuRA
gXZpz4aybh1TTFjNuVScVtBzocC5MIJ0rmJn5vYQM2TrdO9Hy/Zh3RZa9q41VKnWvTSxSHbbyvlD
Lxf/xJIk/rQoIe6U9MYbGvvsmHpSX4xZHZSLafsTtnBYwZ0wbC7qtRtsB6svZrm1fr4Jt/6iU+ak
KLnOeOx895b3mVdRug7vXYMbv6+B2312mow8h2k7V8KaNeF2mysO/6YRPpBBa+lcrLlTSfSGcHtO
ZsNdX6sRLlAFNyja+KxwxvlKWqNobS2jCURxwKphI02soTSEszS0FtNRuEA5rOkU7lOMPiTn1pDa
WWtqbE2qW8i9srfG1cRaWPsXN6vP7pPv9lYYXXtreeXW/JphgDrGCLrLqbXGIqZiKxTcstraZtFf
l9am8B2I+J8u+f/7irlVZf59Mf9+FNzPZdz+1h9lHOeCZ5k9K8Wzpdqi3K8pIdTQBChd+mIF/6OM
I0XOmj49QOB2D3iJsfmBjePgYhgjoT+Dwee7s/xflHHExL4t4zBwwkiEqwBpBbLJ/vxVGQ9RP8Dj
GO86alfYvdkC98SYjvyyqdsi3NRtSrePtaph7pra/UrQuTI4DQStrS1gDy8RJkCu38sJqGLQy9t4
6fdI1jrPNSlioVH5FMa9Q9Q4Dz0hp5qg4pFrDy/XZc8w18SRycrEg62aK/RGMQxybQhEycxQqod1
+gAKqq3SwJl24TohdUIcVj+ASDxabtg6QSrUOQw/d8/bok3uB8Gl5SKAqbcfOmc2aMXcJzaoZ0ja
vyGDhZX9zGG+8/W9SPVaID3lYTXOR7mFcQ4or4TWPC2WLbvqYmPOTsjvYg+Wdt2BjNbw1iH6D/+w
Vs9RPYf4h+orRh8Yjnq/bHzG8roO/RIIAXaaPvjq8k+RuaGYEHPlorKu8hA3GS3rZJLlGqwmxA7j
apF3NAimcgCTdZQqmLJHj4VQHjMtxYF2C4UIp+MHl5mxgqtrzieUj8qt5ZoDMdeV8tN2h+rFj4G/
SK+IkTmSG7JOt9SMHr5YK28XsB77eVjGfEha3CpVE5SvEMLAsYG7seMwtI3xp36TKHczX6tQIhGo
7xWvpplGOQykACyyOtrHyWpuQWWGeTM3btlARU/7uD9l7QYFMw/ZZR25kMBnszpRsiR7LYnJO5B1
qhxBN0JRG9R7j8/PfobUnpGOCFjhNTlAff9lmfD4/DQbq2Vpg9wb4cwDD9AfQjd+yhwwDvMI7Ksb
sFQlJlVs46rAXtfepAHhlac6sICOYVXmdeE+bAOABouK9inFtKS9bA9MBaQkIJybZOvJCXcOhCP2
icfUqs19w9xDDfM+Hhj6lM5fYDmFARYu2AS6MQHi88sABBg7JIq0suaBKXXkeU36FXr2We5BzTA4
tVJMilPcVnh4IWwx0TM8LjDKGvrsOWGwV65xaO5uAnaYDHk8Mk3DL65gHGE+wNRWgW6BCBljRgmX
qiar5+Aqu7hsurn9gncOEGXju4d1491U0SbdIP4MUmQpLZFsnlvRG6j2Pf8WU+JY+pjRzlO9ufIM
OT0ssfpd63ikhD4qwk6DiKa+HT8YJyOFu9VwF8CiXCmqi2hRDw4ZP7a99Yhgj66o2ABECCD4jZvA
MmOaD17X3wB7YJ9NtiW5Twm9MHOaIv0BUDLcRTDfQvcfA9Hqu2Q8ZnP8hOySz7MLpI2koL4y53lt
JgXrMHsI4PhtQ4Cl8ZrsAxBARSukLSLZJW4FLHzZc4/31JmxLiaRvnPT6Gb06GlAy5x3sr9K3PAr
0hw+Lq2jSzQGN9Mm02Mq5QGys3u1Ze+Rm1BXLmioYpxltTQgrVjNzD7wN3SunQ7hG+jOiOMpZErv
iCuBRJEa1hKgO+fI3R41oJYcyQgH1tMTT+rrNIA1QcOLbsBi401BPEyHxWYBUyQ+dRn70qRd9znm
E8zTwcIw9c9BrscsPCG9DiY0GF5gooYLV8HGIty5q+JgvOlX5z5Wat03nLMT6aBC0j1BtpVZU1yS
Y/3RU7wbNGpS3a/kViB/DKZOhbQO+/Jsbl2X0n7oNES0amqW7V01sLuWyKFMfYzcqDDzXjXoOpwI
Ld8QeqbaGpri1SYtKkxi9no2DZBKBvQuEWGVbcCzYxk9AwDdSh5uRzM11243nkXQXESzFhU8Lv4+
WIO2CtwBEpVQIa0midx9W9deGbp9j35XRwhMQtwNBXZVM+bv/UCj1De4WqQekcpfYZNvu8CGkGFW
NwOqlDvW3n6F+Po2gvPygNwhks+NFyPAi0OfJfSaj2SCNFe0ITrv9Xdi6L+tjgsG9O9bHdAss/qr
iRW/9Uerg3BMnBzjgWMHvYewmletDo4OSyPXutKgQrHpNT9kAEH2GwIs8CPMkrCs/WliTX8DQxoH
YEvxR//1xJr8PLEmLloqtFO4hBQn0f651dGYDwFh1uE134bEHLe4F8GXhQZTfQ14LBDi0gEdc0jr
pC2cmd6bkIRQb4ZD2fkzBtY6ZjnYSl7BQRqWKhLuwV1hf011IIt56R89s8HxHrFHeKehXQtAZ0sV
n1tBgE7WDSokMCHrD0EsE6KcUuBSqdncA8tiVfLZq0HdcIzIjoAHXk5tSePpPHdDBqM3+7h48S1i
DyAAE7Lo4XxZtj0bpzVfXAFheNPfbmT9gF34qEKFt6rtAblPcKRnQMpyJrfHrEF7BhvsYRZW2Nf6
N747tZdzuPU7gNFdCUlmDx5ofA5q8jg381QIJ6km87RqPyrBhVWLg9arFd2l9sOPQ0eGXKXwbEEw
JwoJk1vBB2RYBL0DLUCaycJb9BmRFE3ly+1pTusd7KU2/mLvJQDWh36vkAogQVf5jbeA8Rl4IZfg
aYJ/g6/1lmeuzXy46Mx22CKQWDOpkXJjww0Fg0u67ZDdMxxgEa5037xrkUoxTd3tIN0zdeYC6Bcw
1EjcLnikM0zZlauZ7PaT46W7NB5OHgou3JBtAfXChWsNUQuD5afFNntCzy5vPY3y9bmRLfErFfSk
u3W2yQx74SHfDbEG7iek9iBXI174V0SZ7DRFQ8b8+StwhV3iYzddU/yYzevTGHpQHWOqzsWiD5Oh
V2FXp5WzarMbJ/q8OtBdNal5QHTlu2nTt0gl+Qze++T22wNbmgytsgqqhITfmK/hlSfmc0tHDlp2
ANMcdEW6oOeL3PHQRPIWcO8hkSksFcn4zjB8LeSJjTkh6XWtFTKc6PYM71Y504kDV4izaoqNe9iS
Z6/pQ5AX04dlAnItBrSzcHdccaQO7iPYgCVQVbihEOeB6R6xZPQr4SOM77PZdunaDEVjyN531ANb
+0OP16bo0k7nYJLQd6qtmkg3wAHLj3oN6wLwx42pnU9ycoHpBB6a6OY90voIeCg/yRVyH/A2o3+R
hzbhSRFP/amLFKSWYMlm6x2jMX9WdLoeRPi4qPoibrcm56a5gkLhPAAAyeM+O3eg9Ox0sBQN0A1J
0YQ207LuRw24dqKBh1gYHPHA04ct6SvRRkdXQWXKg+F+c2LbsaYgs/3ofeLQe+07uZutnyDDZseB
ZsdNj+eapMO57tWnWKO3TZN7J46PNEivHWQjUPSuQ7hdCSEPvMfa3DDplANyDksw4ncLpiYOEoHM
bC8bmlVcZ12Otyf+rBZ1pH4z39XpYmNM2h02uXM8oSt/qej/3dqsC/rvt7ZrOG3J089TvP2tH1sb
zrIFFOsj4Cl5GyvrAXIFGAupSwx0NXwNxgaIek9ibHnwY7+cjfkfhVuAuP8YEQnATQMAudgQ/8UU
jx32zRSfgJkMoMnDqAfFjfdWbTNiQmVr4taXMvMwhm8tz6C3zOqzA/3HuUsUZhjHNTMyP+gJSWQP
KUHS5pA0X4Ml8kpnRW09oMnCxjMGMDUjY3aoNIJnSOHHtP9A5AKsExnLUMF01CBlomExhsQBNmZU
S/Y0oZWXO7+LaBmppQfVDYa11s2OzqxBiGerfGtHC5fdKJssPpnEyfKMG7zfM7ISORvgo2qQFACW
Tj47KdGoSQhOiFi95KC/vsEwbAAOYHBzgibbtQvBfGYwVFJJTu3sXQ9bf1bIZdq29dYLNsRAZAfY
4S/Cvj3CTXvUrEaeWYw0EbBIEcj+BfI5FdKLIURk0ODcNHCt3g11egaS0RQxSbsCTgvvolO9LHxn
5ZWJmyaXgwMMYJyv9aSuHQ4T6EowQpvQq7a+x3REINfJ23hyhoIFRj7zYLpnrXvvxp6A272duhtn
5NtlEPKdGIcdQajbp54tRQLCFkiLuFzClmAPpc+JIk3hDwla4R4RQdlcZiYQqCvRuhvSccoTRCeU
Uop9N+LrDi2ACR+W5Ro6vNL3wKguZK0PbGgQlBOp3aSd/i5erUTEerINkg0yJLUMPtR5DFKnLdgh
lhgCvnkI3ytA3AlFlCsCNtKdi3wHRP6IQs+bzNFADQ/AP2xmjpPBydshOKBQyFv5hUwPBMgrmR58
cHjh0DVCfAgxFmCbN/BU49LVRbRMc+UjAGIXgL9/pAb3aTW8+90h/d/658X/VP8uHpV66n6uf/a3
/qh/GTTqMXQpPpSS37W6r1BMBFmCoAK6iXpmu+4fCl8rX4fIBjwUCiTkjqCw/oNiItIuxl/EzAfT
C2rtv6l/ES7t1TKBmhOUFoS9yFR2oapFP/Dn1h6J0NoZ+ni9NmugkoouNd7UOclMSQyjYM3r87Rx
RKwZhKLwD97sIdEDFi42HYcNy1cv8cYvvicgN3iFoINfh663Iz7U/F8tEiGw+tH5oHuRDK2flgf9
ooXPXnTxRikldwiDg16+NtuWle13IT19UdWPMfE3xIG9SO43JLRAcDcT7VXCJ3KrAB4LOKJTJP0i
tsHbzy6Ihj1Cg8Pofes5NN4lgTwy3xvACiBY7AANpDnowMxINraQD3lBfwhpxFQF2CYO1MJDTp0C
KLKQUfaCHpnBLJXTAlJC95zkGcXE7AqnyQEYRV8Wi2RtFo6aXpCpaARNFQGtilcnBDqYPjcdZupJ
ID4iGfAzFELkhS0AvLSFvigZ1Dn10KMQJnwkAyMqorVgmWthM/8FQRMWTJMWVpsjD7IsC7WlMkRb
Y+E3zwJxsYXkBgvOhbbag1HMEFzdPfEEIVyBBfOQUBbuVT+xyn2B+kiC1JFobm+4BQKBqByFhQbF
OK5VauFCkgZP1AKIkeRYFhYXESQcK9mTJHeBOCJZmRzirZ2xxQGOpNiCkhVhAYOFKhMBjUO5WgCz
nfxk3/dCnTAHN6UPodklrlnkxIKfHCgos3AozocJYawARJpZsHS1sKmyACrEM7wKLKi6zsB2Owu0
ijT41FrolVgQVlo4Fmo9oIsWop0sWDtb2NZr4/GWvEC5FtRNLLy7GW9E8LQFfVXvtztYNgAEL4gv
VBYc1l4yI/BPjVVtoWOvlYC76kYc/ts2viR5uths/r5t/D/twLq/aBvtb70qm4jBCFDn/OSF4nmF
iIAXAo2D/323P/yJwwdfhANmogBRc98r6o+yiYMKLFdjM7eyDLjJvzNG/CQfBgaCyChcIE6qQVmP
3yAiRCZr0wRpe+144wNhwBI2QMueiY6tJ7q8iUEdyrlKkM/iLqBgA3KRmfFqTdGZ1TYTW7AROW7E
KWQy+zsSuTsXQTwrW/wqTfq5WIi5cKe6jJ0eNBFGSpb6Q9F67QWNxrZYHAx1XD2K2KJ4XvgNATyq
GBxBChLps06Xb4BFxiLliNR1A4TemwUpeabbKnd2WgygkcZkCJwiQXNUhMaNi6nvzK7rzY1vMN36
pD3POkIEFJk+BRBGl9A4fevd+ARpw1COGqMoWRRgfURmRnSDxDbJbrbM+7jUG8E4buF46qx5m0z4
v3HDio2gCgtBkLVTI91/2pmkr/MR6Hfur/rDRsklYv7PQz2cKb4TsraABQvfv1sZL9G2iop3/mXt
+e9q0yK1AUeS5Uh0gytC4TSFgQM6CcPgIALDijodPqaRdIrYNWQmAONHRu4nvxk+Q9r3wWzhekZe
5PUQTLCLegjlakb5WePYANbxvRjWGCKGqM/DFenKc1D74BbSS0r8D8GowOez9RqZYXHF+byVfrSR
assgnYPLCibLfr4LHPotgupiDxkhBgrOz0htmvQjFJS7cIgflQn6PdIn90APSSWHVfQfMIF096AV
Bv7EyPZt1fRuC1wEHc8DYpK4pGn6KHGUQ431fXSnzj3oye+vfVln16Go1clkNdzaCBVaESM/SaSo
u9RFkEaYmaug2aBaYr1Y9xBgfwQQXCawmF0Gun+CKMs/uD2xmXAx4I38v3Xue52Da+Dv6xwMYI/L
k3xUP3eINpL4R6nDwStwPKJJjO3JJi9yoD86RJzJggBfDw1gjJPlbZX5EXie/haBHc9cmCzgEXlp
Hn+UuuQ3VExInFA4rXHMjf9Nhwj32NsOMQWKbFtYJKz78FuiF33Nc3ckBZm4pMhc/L/sncdy3Nba
RV/lvgBcCAdp+APoyO5mDuIEJUoUcgYOwtP/C/KVrySn8twDV9llkp3QOF/Ye206mT1T2F0c8U1j
Znk12HKGyq13p2nQq52hLsbOnYYbkEJYZMrirRV6FXRKt8/n2Ny4BgTKaLQMQjHixh9iEJKpMupB
zBqQjmwFpo5TcdOwK49NYLMoZzArq8sVSt9Ta4q9U7kIPJV418z1c+hElb80znlpZ74kVSb3AMOO
UcGCKRPmcXES6gthny1dPEYmspM+cW7d0c7IEEhue7X9qJuC4Z8ZPcnCBLiF8Yb+25Z+JpezVdrP
U4giGaXZi5tXzxbwJTfTTqOdPyhmce6Z3/qITx/LNlQBt2IiCAGYLeKuLNOtFikfdBhuURNte7WB
zNTWp9quXnTHuhhxkXqxSVjCZGLItMTHPnew0E9rl273G9ixsQcqniSLdoL+FzbzxnHKgb2unPGR
FNctg2VMDca+inWwf+NwGXMJYW4ZtR1ap21qNXdTBszUzLTSV/TlxgitT3pfP2TDvEVBWXhGVN5M
wtrOcUGFXJDGYXc31mA/xk1IrSjmFyvh1pyMZo3MQEBqLZNqayRzx1jf3vXtcttOpb3V4vw4afl7
vBQIWntwdDFr9JbWwWd8eJ1KW4c+be8nJ7pvLiImsIcbE6Qza0btRgD7NrEld9oGsWm/pJve6CXi
U+cltlitDU1JSVwlO87V0suK6lNmW1WQ9tzd9EYDXomUVI3AC8z7ZAbcXhTpW9sa70Af38dKjfZR
Iy6rDHeS1NWzKotNOufiyUA9EGDjQmcXrtvV5liY1iE3NbTt8bZ1omyrYXvYzNMEEimy5p3z9T5c
mkO/GaVym9TjZ3fJxtaHvJj6atvslgZ0rt03R6E0ut+Ieu9aVexVOgxi6IIOwGtnrysRGNR2+ogg
/wH9VoAii5UqjH8uXa4j97kypOHHTS/vGX03m8SNpk1mo8iYEZ362jJozIVAQBpmfudKjIV6aHjY
xg6la51C2WlekcHRgyrN98JGh+WktbY1Vu4ugkR1q+RG7qsoe69mvbwNlfiTEY3itg+LO3oKmjps
FoeaZYgX9yPK5WXYdEyDGNsv11XFN4Vt4YRArr4JbfMUF6oa1CpIDSvlDSyt177Xjl11mwhB59Y6
N45ThIfJqi5TiOJQ9uPR1avPokMB08zpx0IUNRi6LguUSckC1t4EqpgNtsIGOmW8KDtj9tPlVY+M
z7I9pSlF+7hJqmamKucykEX4kc4RPvLcnMMlIxDEUO6nWuxLLVbwx8RPSpS9ZwNfGb2suLZX1qVL
EQYVxnPp0ZEn5w/Ytb649AAE/XDdGbm9E1UZbQTSFog6S+/JqClPij6ZZ60sHpSkaC6TxP6AQSnd
2O4SAsiUij+EYeVHLcifeJRn2WaOh3+EJB83uY9brmZTRNqhzdMYISCfOKYIrIXzcluFtUUKBAP1
rpAMGWflzkCNF6g8khcvTUjPyPiJKIJwK1kcB1XTiz3awUkKdul4iKhUmlvA7ld51d2roQrYPKlQ
2Mhj6Jg64801kYipHOlE9aS1L5nLPmBj0QymfjekV8MgyS7oATno22QMS5Iskg4JYxSLX0kp/46M
Vp7/n9cEaxyb906CavX7omD9ze+KAszDSNjYdFFqrAOg34oCQo0FXgrbpgBgo8VE+1tRQII9EyEU
x98Ebr9NjaxfNLTG6IosVM4mpcQ/qgm+8n9+9ADrJkMerhlm5kjqfjLjdgMdAiYh5UKDk/p5dZCM
Ibwyt0qv1Ppqm9kz4QHC8NO4uGW57foyAZQwNtg85r4K8rQ/LK2GnxAVlE9VVNEBzGHQNM7IGrV7
wzL4hK/ntVab8zwYB8ayzqku8nYDXJc0IoMkr5ZdYpEGEabJ6SvxsjE+MYP1pQ1Me0X0uqoyeyC6
TY/Ag2d1sr9w3E3bdKzvC1Zl6+hos+Ch8QbFXtCqNi9iqIcg0eoA7P+4TfEPBk2lbMsmGxjXthTz
uNdESMvRDcUxXmwCvcywioC0ItMLwkm81rlU5lt0XY7cMoIZCwO5U189DJAd68nTNAFwlz6IibdL
pErL7aubi42uDiQ6we+SZAAgwkpvhhRijlvmflE57GDV9HNv2+/Iq5BqJyzvjP6Sy0e9ozUI5xHT
pzswVJqre3uC968V+muad/DA3VbnDGNH3LFAtsKuOzZq+dboMXhsUkyAuoJSZaRkFUK/bbIIyi16
k4A58YMK0f7rudNNnJWTKl5KUT0xAatYGkzVSS2T2cdFtaH1uzYiEN15dem0ble08TZ37eNkhi+o
ODXIlcZ8qKwU25dQD/RDyKd53dhsOFxDRLeemi+Gz/N5Rn2eHGXC6J5b1IhbLFRWuXdxHTrqQ+7k
ckvIU8Ig3r4SRcIKth+b5CnrFD3fgDe1rI02UhPq863aLRlTKmirEO4dmiz1PpLzbdjglFpa45o6
E7eovm8669ZM7UOYL7tMDtxRly6QffTQO8X15MqdPumzl6nEnKHD78bai1MTx2yRPoPbf7ArvNij
81Qo9L34EffTED0AQD61Y3LfFsNL0mt7bXLYUedx7VuNyRoAKPwkR3ML6UFfqeYnC7zuFR859/Ah
fU8RUsmW56bMkbkxjNHcc8gjRkTXtZiveoucsFRZvw75eYnCOzjD9WEmE+5kKGQ8DONbqXQYax/a
AVKr27i3UZwGNaKlsl6OraU9qW46BmmV7rqkpXBKEa4hAE267LUYAFIrNtqofrY9o6mDuI4SX1MY
ajTz+NENtWqjFqS8WctlVOV1rDrP2Oquqk5Ba73OFcw3o1ahiYTp/RLF16MmnpuW+AdTe8obVduo
Opt7LGR+kimXUHV3aVFehgSpW+yWbzIUqw4qPLk4njxD5ld5zo8h8R77offGtjg40XCSfXnFTy6b
aTKMIybd3sucMde3WtLPvrXg1L2Laat06N7RhzTRN6XJOqc11S8LLUmWyA+dO25HV25mh6dgOK+9
U56LQSg+NNvA0Aa/7419G9Uvs73qGwuiLEZhnRx9uHO0BgzqNJIw0BovydAeRnAEuSJDr3LErZFG
B7Q+tzoCNn9e5NmUI2o9s9yFJZI6t62ZNNu7xMmeUz07RWr3aJe1CrJFvetjEeh1fo7RhTGZfc4K
cc/o3MbkKT+Jgq+a2p6ZFF1PeTEcolkb1oCHfa4Tiujqd1wkx2oAyY0S5hpP01babPI52l/Q3wek
7eVb2ak3VT5eKa52paAz85pROYhZ7NVWbPuWymgZ9yOuCurbE0j8XZ8vt73M2JuRlGgY7dVUc8k6
1CVFlz9iAn7NxuSaeu3Qt+K9IyAJVetBM+In2SX3ptM9MEbLETJSuZjxwZbOW0Z+ilYMGFawzod6
e5r7EgeMzjdMG89xlV0lBLFMuXHv5oyYsEh7WtWg97fUnZDJFsf2tVlUV4ntfPl3XvHrvIIy4s9r
k/8rPn6u2t/XJSq/9V1dwvBV6KbD5t0x103Xd3UJRYlgaw8jiaLgf2WJ8wulikpE7K/2qe95Nc4v
usZMH9bGr44s+x/VJV+BKj/UJauxiq2IRj+KbE6s267vNPlVbS6ZOYfdtZobDxk1sN6ZV0DJbrOJ
dmlcy+RIRSCsiT0Zh+SWrqV0uBbV/TSESCTrBlXuSFgItbdKgKcf17bGd763yNbRmBmsXYnL3yq5
6yMnr7WDG7GLqOP8vl2L/KVk36xV01lpaACKElEPnhzFVzgKA3ttFHKJBKbl0LqodBE2e76zLZfy
lOpf0eRYZKKQkaC+9h+dG2HApiWx4pgioy0f4pIITsKRaoIyu0NDIxM6fbTpMrzStijeIWo8QSNQ
VsHNvqINUtZ+iFAD1vt0SIsZvTE0Sr2GpCK/pY0q20OqnbS1tYo/tobfu9G+qsIoGOWAoWHtxcBm
5pQKUxboS1dvalq2cWEsDdzq80Azp/X1iN6MF0TkzKGj4ZsVuyZUcaMsp4FecBLOq0lvWK1Nojub
JNDQN7ZRe5OsjaSQDlyhSbvOVpFBpA4bzQE6DW8a8H0UdQd7bUrZ79/pa5vq0q9O9K1d6WAxXlvZ
RIu1rb62t50taXQtRu91WAEhXNvgMBs1VmfOiZ3UYR4SNkxtjFmhZEDSMYlY2+nGAIridMT0WS60
CguL8iZaG/CoVw2fo+c5UqrUw4+1a9SUhEj7QbjLR21t5YuZGoQxbSpjN6j0GM4+lAKvpvvndNTR
XTVHQ+O1LEwIXIOCOQu1Ur2pRV/ekx7MA7cd4+vqehHtp4TwiIMulRsu8I9ulVQUr2QvxZn20jby
3EJZCBRHgA0ajXfmPu/Snudt10/cxDsn3AM+eCv4ilJg6rGfkeVHJzfcm8gMrgpHPco0/VAv7tXS
oGMxKV0QSp+aGWVKpzKK6aNQ86qMah5/3qVPF74+8iGOwrcmtp09eveJmV1xHy4AOid9eG4M+5A1
hNE6ZnUkKy9nbG8VW6crD1ZkEsupxkdOaowF6XLP3xxPDd5HdOtVxUbYav2vlAHycRm3uOuHx3KW
jiC0Ai0Uz12VMgZcsBR2XVkeO32Y/EmxbS+eE/hmXd77y9RVL5HKHrKM4/YmtUzXG5GTT+WskeJS
PDlI072oB6EsU1prvcJiYNTlJsxT5hqklPJt7/VDhyDdq1IrJmxrOKiLox4ah6NKI/TH4rl4jWWg
qFu/pQ7m5C7tF69qyr3okQ0qmAuqpQcCAmK9xh/AN030PhCCCYFLbLNH7oJeaGAk+BdFmDdp5NIY
yEdtSq/MdjhWBrRV0d5LmzHe0hU79t+U4gVSzjLTLnIaHpOKYSGT1JtCDLcZklUnm87kkr10IcK8
DAiWV1TpE6CYo5jUPZt1KlhL9ZoB/jHCcQPlKqGqrDVtta22xczIUW+nc9gat1k55xuy0za2Xh/1
AW3L3A3IHMPXJNKuofFcgAfdYM9kpyS7t5B8OW/Ilpc8ZhsiGocI4rR47QobBzVTKq/X64cqFler
umAjc64aaFFz9mRA0NsT1k0mMkpjfRNXcE7WIcW/R/ivRzg7gD8/wqGV9H+0WeWXfjvBNdanGCPw
dWF31q3vT3Cd/8XBCW/eRj2+yvi+CVLUXzi8mSCsm4DVjcfS9du6wf1lpZsBojMBu2vrPOIfCFK+
TjZ+FKRwerPPcHh2hLmCwPrxCJf11IGNiY3rbhIqX255wOlFUGFqGCynmm1l6NTw/fxsI28Oukh8
ag3n1HNtBeZKhkiJq2A2TQ4ew1+vVEu06WrrOQud/dRJUtCQjAu3reCBD2+zW36IE6bHRX6XiXRX
zv0Ryc5dU3PGp82MzbnWO6/V9FNZAF6JFPuxy1wSrNyC3L0xfMSy/WwCpOF+u0y+NRXXZmRca6O1
cZvqaOfNITMXBhgEYfhkaGGQi6cd8LqN7tRfyHi9G8bIPBKrtKvn9s1BIeN2y9NEKqyX6QwGDeAv
niWKMjDq0FcndsN2HT+N2vBKGoTwkaLs9aFCi4YLGXeh0Xo991s/qY1LVjTHPBMGLVP7pZExFhil
4o6ZO9dJ0VKZRM11asr6OBU9oIWEU98uiBHMkAb6rhqFl86qVCKDhgUzlVi+OKhQLlLYn5aEN7fG
bXWrg3Hw4q59j3vVPadoBk3Swr1Qr+ddXHbOdZfgarFXPwmRZRB4V48JnOQRtAtCNG7J1g63NvOH
1ZUiJju6VSND2y2rZ6WJkpwiCh8L0CbE4Ku3RZ3zdG+sfhdldb6kqweGYEPPWF0x5uqPKVanjDbN
LFdX94xYfTRiddS0Ra/v+or8kxK7DVmwVwv2m6zUDv3qx0kK50u4OnTS1aujrK6defXvEFI477AI
4+lZ3T3M5OcNHBB316/en3R1AbmrH6hYnUEq8Jo7FrAOfkF8Q4ZG+oq6eom+WvI6w1Bu89VpVCy8
0mZ1HyXs3rbO6khKV2/SvLqUFJA4MC5wLpmrhynS44dZ726GQS03sQLsk8z4t2pNjEtiovlmtDvH
2uVWHKEMIl57fYsSvXwdOzN9LOH/eB2d9X4eYCbqU4Q5KCxxrmKC9+J6weTA++4ZrTLsnZHhSjwK
imB7SD5nq95JTe1wI6OCRClyFAcz34RhySkLCYRoxxIxpDAKj6IE5zgRNgTOFblvEdZ9u2jTbToR
IbbqdzqsCgBM9fwCQazfA5n50pfLW4/yadvXdLG5m9PYAgzxjckK8raxDtbMHMBSbLlzwlLc6crw
lLhVT+RQPyAWj/VJgzM81J9GnpUNbB/kTprjrYibHdkED4StangLIstXpXsssW/AXJ01z5UDkccd
UfMw57BPkE5flspREZhKDONRcrz7ZIc/FE16tNPyZrQ7X1Hsc2e+hrZ+NVSWfKEsfh+t/jQJRcE+
B8rRGYfxNDDt37suk5ykRQQRZepJ59HiOr6SUnxpgCuxwyE7Cmy1J137aXFg4yXpQipKV3zu0K56
8LQOVTrfolwmcTUB5rbSCMrCQeyeaHhqZQyqYK4mj0kZonx+vOwQiNidYW7nmY9Qa4rrQYnu8yl8
VavhQy24PThqLQM7a6+SUfs4ZczKumzFyHZVtEXaR+CzAVBQrMY+6OX2wpYw7+QZp8rzYFG224q4
cScba2thlwdU3fxkrzKyynLp1311hYhrD4el9KUIt6laNdegZMmfZKxB9pMb9FP73oUolk2ZBKDQ
rA9kLBfmpiqnc6n3nyphkyppvoBfIdweaV/aLm8ML0GjVdOeF51vY0alHsmcQW7ZF5C5u9glAUcn
9jHD4urJStsrjbWfSdTEVcxCLVmjHosTmYNU8kn+1jvu3i6NCylqO0U0uwgkGp+pP+Ua/21+jJ0k
8btk+ALE9wbGYk8c2nzoVxMM1mgfX/MtGCuFs2ANZ5uv4j6/LfDPaEn8kOOnia1yb68GmwGnTU5K
JAwhPI1hxwAHNw567FOS+47aTV6HWwfx/Dt64NnjHFPmXYe10KEvynI/sso7NSGB6d/a6GttZLIK
+fPa6AkI79B+/P18Y/21b9URngQKH51NiQqsSfseOkCqNGUOIwwTlaz6g11BkD6PpWZ1xwkLfzUD
k2/VkcGAQ+gWoz5Kq6//6x9UR8xQfqyNVn6BRjwPAVHmGnj/Y200qUok27YcLsuc+Q2cjmi1qzmF
9937wlxvjqryB9Ku+geMV1N3QOWgQWaf9DP4V4N31VipqC/qYLqPBC9jJS6QVS57dHdm6xt9OYhD
14XLPdNL5KgWE97UsaMPdZU6RxSf7pVmM6SoQdVON/Fs3BlzJWErzhFuapmlnfEqp8ZybsawkXKb
akS3ScZ6nsWK5XpkdaFtkrqudLhp+UDUnBKxQ0+6sHwBSuNuTGdpVSRpn8xcjBdb1Pm1GNSaOMU6
y8kxCzlEVkGEkrMr9mwMVca1Ktewapmn122fQb6pCQ6L3RuO6Hezqz+XKDVCEq9t0qEBHuPYIgpb
V3kVsA82Ljc0t9iYU3EI57khf7hIAjAqQT43X2K8zgsh2xph24Mh7/M1KW4UbfrBZgpF85cNZ0Yi
7aUBZXfME/dcu0W+WRZqy1JRjC8CNOgepJQKVRcDSSHDBh+iQnw3uwyYBpeu7Bi4644MomShiCnt
x1lTXkj1agJgsKwU+j7C9TUY5HxFzEqoL1VckmL9Ez0zcWYrj63ojSmwnDK+6yKpcDvT2o07qdOL
yEnMwW1Djl2XDdBslHYGO7TcNVbvHGNF0y5/fY19xQT/MKpz+XN4XpnS8eXgsv7xWm7mtokiliIX
1hQfx9bT7pd7ID9EWvT7cs8QIg6iDXHSm3ZDssRRbI2Nvg/97G+u9Z+UnF99ErbtsEk1IVCBef+p
38A4Mw5RB+031KMjuunJz8gC9upREIZqZ+6mkaGxbbmFA6hw1HNkt6Da+YysrCn82aZrD9WZ3NTl
tQcptu10mpC+r5nLLa+2yfIxRWCBsWR6bvIaI12LbMHuUiPAVqt7QN8L5JPTBvf7bkSqk2K2aYQT
MkBw96sWYNb1HUGpmtcwmPcSF3JGUe5ZEAWVIUihVGsqmuikh2jSocZrgayTVQTDvEGiOJ3wHjYR
mYIkqz1G+Ao1ozgPk8N57NQgCLnQbLcB7KSm93/9Ef94E/lvEhO9JvdLi3bSXe9m3w1j3UUf3boI
2wuSm3THjSDnxauIkfAVmBVjONH8XXTsGiHw3R3y94/506epTNJuZRZ1F9CW2GxaTDdRFSydDWVv
OFdNCGjJYhNtNyQk5l2PFqOcTwudieco5qlKnBcVGy87WeULNI5t3TSkkVq3arh8MqPmtRhJ62zK
pv41Y+VfOYT4y3kFcoj+43/8dlh+fyyvv/ntWF6Rbg4HH0pH978H7G9rB/0XhqfA8P+n+f4mh7B/
QUv39Zr4NSCCeca3Y9n6BVM9RxybAr70KnuMf3AsM+n44bLjLzk4fBzwNRQH6+ji50s9VMgUdZz6
upyQyGmzBVVMz3H/TuUzEGtno6ftOnpsEdFlNkY6sz80pvZFVmpBLV2MxxEKMd07pvheHfYRIqW1
EED+x9SuKoklXdvP1E7fxrBFRYCa2ZMl6zdO6nJjF6bDITW7N3FTPJotq+ZmZFhpZstphvsYRX2F
3us5TI2HokjKa4aa7DjX9fqwLtrVSUuOBbv3UICByVz31skwwyHqfEf1MGwjTHwPZePumQ1dpTW2
a3ViuN9Nd402Xk9VnR9ypblIOkHcITtT7VJfmtOpsNv7uONsaueKzol0iqg3cOu6sR9G3ac50Rih
RpGkcZspKpJwFyXNPWrlbTwJvHbc3rq2TQ4yt181DenbOI0XVFhsmBfyWyby1EFm7OOKu95EHist
I2F4nFohbfDeVDTemiGRV3mCEKAwo4tbJ0fXyVZBAKdvr3xO09z1kqYBGIPEcFzGBEkZjZIiSbxF
PJZ4A9a+IXduUEuSSdxrcDLTmsPWuEtr+67qPutO9cXmzw2kffCn8OHHWvcxRujgdyGNmLB7ZsMG
k5ya8bOB+bPKSStFgpj41tytmtY7dIvVTVNo52ZKJxDzWr1JTAoHnWt4t+j6g1i+qlLdgLvUY13O
7rGR6T6zCXS2mvACmIQSKcxg8OZXGHyoqqqgzxmAjOW2mlgZaGby7IpOkF+PnzQEIRq4ebNdEvs8
N/OLXhVbUcpX5O71oTDkHTfABS3a+M4jQzM1cvYMjXZdQn7wGm2+SSfHgFcUn91BCU/SaN+0NiS+
kEnZIYnQAMZKYW8a3AXmZi4ZOasLIfEm6NpU1heKD/tYR1V3y/AelJ6NycDlDWoUVsTOZ8jT41Hi
PYAosW1rPP9GuJ1NYwyMsP3gCjbpYqZeymoeAu9VPWT7diSabDB5ix1maUoRL49GXWkM7OcRDKF9
7zTWFSjg99X5H2iZeZdjlb+yYL0uBZkS8RiAYyfpzEKVDNngc7rU7qGv7M+Tvc5GHDQhpnQ7FA7d
bd9UvMXtOcxUJ7DbsT5WduszKqF+yQTJDIvgCncQDU2oZasJeSvglZkyN/yS1+FNTlZLIArSKGQ8
VL41QAoIl/yq0Ut1s6hWg50dMbRGsx6WxzHVu4Ag2A8p0kjUwn1/ioWino2xNd+ZLWUPlcqyCZE2
YkQtj5mUfT3J/z2d0Mb/RccYvOf/uQBmfP/94bT+4m+Hk/ELaEqk+LSL4Dwd2snfDifBcFxHoS++
uY5+m6gza1fhK+HjJCJB1Q1+67+HE+FFYKRt7EXreUKV/I8s7j8fTQKHEqN7wQnpGugGf6qzyZhO
u3wp9ZuSAYqaJSc7ynxDzpvv3pk/6Bl/DUH6X0HPK9Ex/rDGx61APodp//RAkPsz5onZeGOaECp6
QNFiYy7DsUgg6VY6ujJltJmS9NU1SWmnJqsfbb2Fa83u0h/h32+yVsuuZGu6AaRHQizmHkGbWa+O
qfZl7OraL5wYiMk6CI+7/L7mATF55zeVmoB8sEuIww0SFwfes28ww2XI6lw1xeS7rAD8ErQyp4PF
8Dgrt6Eltxhj+2DAsxR02USvKp4Vxz67YsBhrxkvKGUqH4X+PQrhO6WYLopiXvpElajXGSxhvT5A
gr6MYUGn4mqPfOPRsUVSBvoKyRhkfwtQejuK4dl12nc9sl+jYv7Qrjr5bLAhsMxEhrfhlWUXyRbv
2t5yw3bXxZQJRts+UlPsE0dEfh7HVyxe3soxzrayUGvglnic8mqqgXmt01yUylutX161olgZo+m1
cMCHzhDKlNoIGit7pdd7bDvQgVMxeJU23+HE38G83SONV1gZQPkfhZFwQnNwxbp5r8x000XPGWu7
r26PRJ3ecQA453WDyDwuiMABQcTnl+4QCX5xZswCqmWeMbaaB7QNqIcB6Wh0SPoIanyG3DPGWrLN
tPwGsne6NYxxtxTiHEXg9HpN7FzJexuPNDIY9WVQN+4roNw9u507GGpzYCzdU2Kxt46gPHMY5/fd
OBxo6mXQGuonAisjLxrnpzxJzN1kLNf6xOK5i1MJkLr9rOX6Zx2BGORCbV/l7gFligYtZ9yx2rkt
iOzAjmudbGMpfSsvPy1p/RLbXewXVvUApyYNRGNn+3EwdrY9+jqHEpNbeNNcYizDOZY22hQ3H8u0
itrt4ijI0EwLMoOmTqjN6ORaCOdibMpAtcet5ozrmLadjnlusomdNV8NEYYL4/OouofE1LZywSdA
KlAtnzLTWIfJo6YusB1W/AxFW5Cl+sFA6K6xl+lXF4TTfIS2dKdlyrvj8jE1EFQqrkbWBxJqcNez
eR+Dasy0g1KYLEJGeXJa4EUKuwQzyZjcdjJhNB6NH6zU7jZTVJ+jRA39jnMYtQKA9+5Upxjy+m4/
jv0L+SVo2AkXk6kKB786ZxZfWaPMbpCgXOWKclhy9j6Q7eLNMs1s6GTy2RqRc6VjCsht0O5IXNhN
Vf+ewWGiY2OYbtUvY7tBHnOIRQt6X9nPlg07Tn1dTGZfjKI6KqjXXNzLsWOtMRxrVLi5gsayhDmx
xZEQu6JHNW9sRkPspU4Pr8WskJZa7gwiWreqxmItkuK1FBrxB9UYhErbYvird4NWXs/V+KGtUhYs
s3giN8o549oWzcMK8Y0c0YZ7Chct/7vb6Ipl+PEuynEhkHXj9mI6Amv6h6YZM7whwtmab0amBJ7Y
hcfpvjofUkJ9P5bP4OsODLG98ApW0BCku79LxV774989vGtz7rDlNBnp//jwbTiYUrGG5UbaH+vw
4BIm7E6vSvV3I8Y/ehxd1daZqGoJ9esA8vvZQM+ZlQDav9GSEyFXXp6/u9GB0Lq/G+/8wevh/eQM
pMmz6c1+fD0NFhxz0GL1xjKvWgu3J6YM8fzXR99X0uvPb9r3L+anBxliVe10fKA3cts9obnZyL36
2QlWUdO54Brz7toNq9mtvn+8OEHuXeQ52T51m3Bzmx5Hb0+zeOoDfjCotvyzefrr56f/NIjhZNZ1
oass9U0DVtzXEdh3b3ZOWBDQLVW7YX99CW/VjXrWnqF34uzxh2D2jh+03eRfmu24N02/uAJDdsti
b4t31//6VP4tJNcL+M9XD5v8P0HVoq78g0KSX/xWSLJhWFMmVdsQnJy6QwX1WyEJEYSPEPe6bv13
L/FtyuH+Qg0pqDx1TCEUmt9NOVaTqM5M00Qvh4mQovUfTDmYzv7wZVqnHPwd7kwqpg+b5cBP13kT
hRM9tURdiQtgXOVVEp2VQunr2WnX3hBlhQiLw/LFFHXvu2beeL2t2OilkEZ0iiyPS4SkguS+lqNO
PGP5soMWcptfa7q2XQQqhGINnaEoav1eDNWmCV3pN6tsLEU/RlgPMPvJiQGe2Y8uGjNOlXJrLegG
bfRnFCXRvkWR1ifTczgCH5Npfd9WMbo+JXH3mhp9KtGzTUCPWbFfKjVGxrRK3tQ21WgxcSrU6OHy
MdlBjFj8CqUcbsEPYa8fewtMR4yWTpVRvo0agpaGEXkVuoM3C0D+vl9FeO1kzlu3mt6tynpn8JwG
bN6HoEO7507GS6lX5bEe8sqD3/NRl/FtvAr+eJqf3LK4zhiWkOxu+6BLquppAgiHNUTbZRpWchPf
OIvUbVSxcAxxti1m8W7l2mZaPeZVXu8ErnPa0bvRyqI9tHsHYp4JxHdcliBNFGszKNO1HY+Gl+Bk
T3C0y9XaLnStQjng0KWuxvcUB3wux4Nh9a9E3ZD1YWCSH3DLL6tt3lHnJydnz38zdQye635aWBNz
JLqnWKm/LCuvI2SiselSMM/VtM5AlnzaFQl+3CZJ3UPdzPGtkemPrEwR4xFgtdcdECpRZnxYVNur
C891h4fByqMLVML6uKhFS3CJku1rs9qMaOQ1fIgUGQ5KXAypmDOSp9WoyvafUHeQ12lgREj2a6ue
ArMil01RqpsoDUPP6qKdbrHmUZDBjikS1oHGKLeOYih5i4kxCNPpuTaTz7ZRnELoqHiaGoA2LdHF
tjJ8FEWHHVEYH3CcvFJew1WI7N3sigoZcLrXVWyuNsMbeE9bRTdKRLTO/7N3HtuRG2uXfZee466A
CZhBTxLpmUwmTdFNsIosEt6bAPD0vUFdSSW19P9Lc000kESXiYz4zDn7bKciXY+Jg4w2PdmBQzge
syVC+e7zufgUiz2FPDLYsHhx/Colv2nQkneYzs/SYKEfjXdZ1J2mQXvA/fzacV3SJHiruteu6pEJ
uxl8G4vkalI571ZgPIY5VMOoCR4IZbvqEl6hygjZoVTUrakLoduwXgJHfbMFI7gszBJUlZTUhHC9
tZZ3p5rkHFZgyYJFgOwMi4ODDR5/Sx7Et02rHwgN9cETHUOkv72tripNvoVT97i0K2EhEQnJmyie
92aTryqBVjNtp2cJ2XiXhFoOtozNN/00DIlaQ2S1KBkCgsUWn9hz0+ZH0xuuU9M44MV57AtUNwPJ
PX5tqkPVyCUucNEfadkdIp038ufY6KcZthrb3S1JNRvW7u4m6Mp2Q8JGviXqZT9bGKWTKk+If6r8
sUUcaqBCWk5cTiksLak1XMqeDsSoO7HtcQqFAlmsDhZS8BJwJt2ak32d9N47NjueLcf+ZtgWOLI6
8c0eUckwVaQvLEdcE80QK8S94RXbzImwKldtvmpRhHm6zPY5/l6WrCxw8872bZ63fg7vdWG9OTnC
gdBwr9MhYhwaatqW/v1Od9B11WGqE9zkvBmkgm30IoN3YVdsjhjV5bEBUtydtinChaabg/ukhsgc
N/pDEQ8FjBAnfq8i7WyTQLQpW86IOH5S0XDTeNGe+fEnhi616bCwowgSKLTqCrZZK6HN0TfnTznS
txBbFTCfzh7KjaXLK+k2D96i9mwW3SfZja/lHHtYxwdz1SEODQZ0nw5yUbvTan/um4sVZ+cIQamJ
sHREYKovSlOzaI7ZbGzS0GKM2slbhKXXvUc4m73oVBOmhy7CVaERpNEsWlap2ONgX34wkbnGAekp
yF6TRf+awoDht5mfvUUaW0+PuVS3lUouPA+8CIhoc8S0s8Q02y3askEUOygGPQ1Md18gwdXt9kiW
4JUlxm+FgdUOqa6NZLfyrILJIp/qRc3rZDZt2aLw9ezYQLuD6rcQKIM5Y9cqrvYFwuBmUQg7SIXD
xAZPsqiH5aIjRkyMorhKDvOiMdZScr++VMeL/hj9oXFANRQznUWdXC465VSwelSLdjkcGRMsauZ/
q7IvQYhJ9/T3Vdnixb3+3n38RVW2fOGvVZnBpM6lJWO3Yf1X9/FbVUbcsgEIHl2ISUb5QvX4tSoj
M0gg03BtaQsKpyXZ+dfdk0PS0NL3ICX54nr8s6rszzUZJYSB6VeSWmQ4lAJ/bHDaXvV1jkiOlJtL
E1pg2pz1Ty/KX0z2lo7zD92NgCBNJyj5C1H6Wn+q+gC4pWbv9P1NayXH2HnUxI0nb1tmDsFFDdg9
/7cWeBl9/o8/cfmNfupXDFQBMTGC/U1SMQtwv3YD09eeoFxWBqopXSwFsjrby0Khtbd2QrZDHYyB
3HR552xQltqv7DmMg71AbCfg92u9ZZNmutFJlsRbuEbqwzr+MWjpJwS852LOL6XOEeqUFsLfEFAJ
gngqDCPCOIrfBnFnHLJxsHct8ZJbSaIs/Mm43AXTiNh2ZB7oNL1JmiNiY2BM95py/aqP76CnXJF3
X3K3DietDniXgL/l8InY0XVra4KwZKvbYCEjBBo8j1K/gNYmxsE+FAJLb5qEV6TsoOzQvjUED7D3
ex1m8zI60X5w5najU5zFHXkNFUqNGF0+paPaalXT7ogfvC57B2UF4lzWcHJqi/sShv/erpkgoIDd
U8Zq3S3iFf5FnzdjeZOF1qmjmz6T24Eit+3mdd6bNYY992TbwPqt/IQD9zCm6rrxgrMm0vM02096
5qES1hY8KbmMjRG/Qy//kcGR2yhpXcNjOBIyuB7S6tQFatP302Ey44uYa78I6nU8TidFVFvvArXu
CBuCZKWu2kE81b2xsSzmO3kxf5MZWuEAz8057otLkXYUpuqczim059RZjRUVedrBkq5HTnzwrWIF
Do9a1PlWdxPzIU2EWyOv+kPfqw6qvkFSS1xPp4xE7i3qO6jjPzxN3ViRe9f2rG3hmzBIihqCNfNj
kMWXvtDu1VBsI+yT+JYA78d0QHn3w4mwM+p2cotPaeP1DFqjUV97hr220HJ2PQf8sqizlbVTzbAV
IA87mxpdF+uyLO/nwrrkAcoENaImJsR1uBun6M5ehoLIcdmKPVsM6EZHNg+V0HDXx81ngRk9D7yd
qTA1zwH2dGH5ejp8CBVeFb29Rq4MBcbxDgRgAms3440NlUsPwksUD9eWTPa1zHejkJvMIRN0DK7a
ttw3Eh/m3MGk1c5wiNYGBlEOitsJezb+c9Gi+Q22tWc+Wk3rG3xCiCHBuV7IbNqniHEBXBTbKg7h
p07aMW3nh7ZSEUO77hw3JemHhJ8kA491AJ+7d43vXp98TxwXkUbGPDEhJxJDLbCbVuW+DAZ3/++l
93XpCQ7ov7/0tuhri7+48Zav+vXGQwSJ7k+6LKGIEBAWI4rfbjyIVAC4GTX8dq39fuNxzZE48AuW
+Us6+euNJ9FH4ip0uEB+YVP8kzmEs4BRf7ofuIn4xCx0DNQbpDnJ5bL++X5IcwT0Yxc4Z3Dsx7Cr
h+K6U8Zk+0k+VBX45Lifd65qW+KG8xCQhBdBwSu9AgV2l0Qvo9nek7A7raO24Cnr+h3RY2uGz4zj
RWGw4QUHXHrJmwnYh+pUxptJgyJQEH6JSaZjOUAkk8rvsIQ8qb7U09sOT8Y9cv29p0a8oQHKYMrX
UMTaOQ0Kl9NogJqZa+HLVHXRJQii2L5E2eRcZOGyYbBA9psru8+AY8ggF8WD7WhE6lKcq0076kFH
ZngbxY893ScR2ql6Sg0vwgCTlvs4SpKJvrO5Jg/4qHp5J0NrQtNcPIo5e+gtVN1lVL0bCxDLjnpS
8WaCbDrgn7r5Fi25qI1mne3egHE1PvZcIr7JFEQbtLWWU/eGCwfKqip97U54KdvCsTa6FT2BHXJZ
jqSQeeQ93vubJKlIO9DiH4bnPGCk/xBWEm/anBdFut2tY6Y0fHCY9orvvzLCKn2dTIJcMY/vxcxi
ol72S3nmPtSZbmzLIgUoQuY254Gxj+AIFsPQrBFhHczITFYyx3dDIu6SEJUWiGxq4pvFdDQr4zYw
+tzHpAglyzL2Zcp2xXBT5XvTaBwAXrAZ68UPUSKp6NucPGsZwLoAXVF438OovLI956o1CWKIXdT9
5uzdOwEid48Y2jHQfkhv3mZiPAArPIcNPgj8Peuqme19XizZdkH12ZWsI+xYpfBF8ncVeSMRe8Uz
j3QHMX9w9vYy7+LxurV0iNSdW547KCIMSxAIeOwOkaSswki/CyqNQS1t5EqMjfRx7LSLB2gdyfK5
Tww0gGF37HgHu7bfyjqKd6NExGCLutxwpxzyYboZa/mkt93Z6+KHpCtTnyP8MQ+juyWvd12JfqeH
tnagUzFXQ9TcTU7wgEHhdq57PiI6OYQTGdIrL44ngoGCSx/M+ykLNFLKtPem1qI1EoR0N0k6s1n3
Ml/1ZDGGsiWvUVB9WdN8LCvnJiFhelu6UlEcFaafQ/XGUKNOYMp+ZFl8jHsXOmUbX9tJRYyjcK6m
EmOC8JYYG9JAdD4Aa260742o1HbyuhuvsZ4HLRI+H/VhlUy57Ue9+ZlP3MVpVd71c+V3vUMKRg2S
1lmS3IsSy0cKPEXNxV6zeDqDZY7RZvFHNhkzHaHzLJW8N1jcHYYyZdXaGAdmo+YaYD2AdAxONqZH
X+SWtVV1chOHNqjO9C7PhnMY8WyraPGNJ+kmzr2LERb11s6o01SlWMc2xK3Vhf2gdEIxRSM+A8N6
FWb2jrLsgHKL5jbsGKJpxofVao/ULp6f5/ljjpJ3Y3j9/TR1+i6285dysq6kVk7c1qREtNbRsUYb
+IRbOXB0xORPUf1GaYAvWQJ3XGzZvayvbW3sQN8wUhzmt8Y0XmrXM/eeIGyi8pzL3A/F2u0ieGUN
BiWbiIyVF03vODvbg3C6+6jocDBUIttPopzgRYPywHr2WtnWPRU4lHFCc7d6H6g1wdgJYUVVgdFX
nAcQahtWmR/DTHhdIRmnJMawHoLS2adpASdIs7KV19dkfQjGlPiQ3tkn577eQvYUgZLneJRo39p6
ZM9vRGvTqO9UQdc+uYDzdOQ8aVyMvE8xXmZzWscymdZTElXXuaMOUx685sVIxgxV7AbGUrgaTZ7W
qknebadg9Bgk80YWwTa0zGlvF7AwysraplD21pFjZ1vXZdrJeTjviqR+bVy5LRoND0mwK5lT3SIZ
s7FVUxBOrRIr9ubedtQKck7gEtzahVFt0VEdkKeeEicGDZgn7o7hMH57hIV+MEzTMer7Hyk2821U
debRqEzqN5Q/JFuEBYl2FMGzynlvCN/bSiCIK42J1iqkvlvJbjiQ2M3KWXcJFpGERmfeMfDmKy2e
cyLLGeoFKeC+PFhjWrx34byc5pbxJqXrIlmYLlUfPRQG2/aUHmyLlR0NXKQ1fmJ273YNACdHA7Mb
XVQbk05SLMpnBIlZdOliRCbBLNYpTP5dVc1XBASdMOivCTm5DKSXbsykBvLMYH4VO83Zk8m7CyUy
awOm8I7HbNbWJHQDiRvanTaBHbJrnWtEFUI9Ag36XqYa2qn4PsWN7wtWixt0lfaqsaqPjPyVMBfg
S0yL9KAYUHiPA26tMvFSxTRwQx+fA6+HYKiLYa3qJvDLIL0qXNKIkjEJH+sow1QfvNhMEFcGH10n
yz+xDL5IE1la1J2rLwlAl78H0vA2usc+HhX/Y1+6CFxiFvyGpt3OohJrLYuvddJiMYWmVxmud9/i
TpXawAGm6x+j2+IQCk5uMOU7ggmPuPG8dZ0SUyeLp3xqzmNhwIWc8hy9nOXzhh7rVr+StCZa5X6q
kZmpzdqgqLV90CYfKF62bV92u9apNm3Ff1Wl9igScZrDqzxhQNc7AP3Spch+IyjcrwZI4knjHDB9
Lk+NG/qt3RznVjGuTHl7csbTCfuOceZ5RnvGLNiwPkwgxSvGIffkW/A/c4APOW6mJkNnBz8WVKYb
76jcXqnADvFYbmsqHYQa9nGWZe73VXxj1+4q8NSTbvLNq7EkfDi5SlnV7My8e7dAf4Zo3vwKuJ5w
cgCDxaNucuF5RbiTEciwyTXPyCm+NYp2omrh22pVfali7zQxrl6bdn3Xa/R/TiJBfFv5DucYw1gj
2di6Qm1rVvD4oBBvsbuy8JhRtcAlvc+Hemm6CwKkqDtXbhYT7otqs7Cag2NGRzUlnxEqym2o3JtJ
T3blvGs9kBjg5qdirY8nV0sfyOZD52RZuY/2a0eDAwYDwFNpzm+mq7a2Ct9cOz5ZRk/+TyAi3qz6
O6QGHH2GIry+EkNzxcfnIZzYJTG0fNTxDIBOXLlts3H3ZpjtDTy2Q5euF+r9bWE3ObyEIrYhIuIS
0J6ioSyFDyCjbY4IXRSCzVgtNDJkp5DJJt6dQshYW1sLuCz8Ypi5XnosgVWsRtw3Kwatu9mjc2tg
n2nIXdfFgkOLrXJt5Wm/DobyGRfbvClcIOvDFOrkBCTfzKa4h440bpEwfNYQ16zYkVjedP7SuNt6
0jtEjvUd181ljAnui5xFKxt3uU/d1fppahHTrGgJgZiNXCcTdaFY2lCuNN6/5b2jNu89MgS86FQ3
EKIzBjtj55yHLr7xeueEvcNDvJl81wkwaD3rpM8T1U1ZvXG34KzOMj8t3G9tHFvHrhcfczAUuzkR
IFZpMK2hvwChJTA0IqeJVoJpBrJQOyh+NCrfm0xKfAzG8xZg2MmqszsjBUXfocyFQ6T2nLsnD9+Q
M0kuO3y7+37gE50Y/ECII35qZS1sI7RKLXZq/M27CvcOSrP0Na1j34pu0mqJcoFZN5oH2eDm9dzh
rLVFzV6uu8ll8gOPODoBHeruFJ/LUJwlYumsGM6WcWOzn9KId2waLTwOonxKVXjoovilc7pvlVcy
+yDo0iV0wHbukQL51L3nqTZe40rfe1D+t2YeHubJmQ9Jn73yC36Llnm2Qy24iboqvuJUeLXycnjK
5wHOfp1cjVEK4Bf1MuHO87UaJqintv5cDQKxTnqryCZIKxeEB1aLfPJeMlmeYjN6yhWLv38b+q+G
Xqf//fuG/lBMf9HOL1/zWzsvAUaiK2Bl7/6pnafTR7iKbADPgvPFbvhpgG3Z5A069pKQ5OEF/H2A
LYkkBEv0XwQUQqV/0s7r9h8lTyhgl5jn5XfAkWYiUVnkKz+Ne80oq3SSbrtzntrRtiyzeD2WueXO
t2jWZk7Q2IuC2d5Y0SAi1iED+bpS7wyd9YgxFQoteGyinV6meDespSWnjtsrSfSoPto1ZmGZReYO
fSiDAwjxWUyomBYkg7HWAq8sXucGAfaFEbfXFGsHizTYEilVO8K8q5P2uzPDOp5ZewFI5mQdG2Tg
WDCiZpe0lXcd1SI6hHAlGOgq61tdkuXnsluq+xJihJUm+Vqv1XAFHGfa0oMXZydL+zvdTtWbKKSs
2P5H4dtgNeM2a0V+gtlTbpB0BudEk9aWTXBEr6gjJXJxddxCDISy1JfqOi0cddZZfK0b+s1SMUng
HjGa7ziYWz/ruGb8iGLlEMmkezAUhjVeQfnuzpm3G6JMnYAxkH46x7uMYN07gnCBwCwNedYLDGau
jkdZdh1dHhj9c4NIYpuiJ4Zgr3M6ti3qABJ+yYKch26PuYrVlF4hp/W8yHg152q+RPOcgG02euON
KFN51ddteJjwfz4Tq2SCpjUoGisvXM9u3t/0ffrOS1ocalKN7vU2FpmfIKO+thQVtYS5dZ6ILCSb
RsZnCSh054EM2CSz557nOpb7nMhjWnxyHiMznN65jbIT28L2sc/LHuZvUqBDiQ0QdvqSmBK1KT1k
wJIXL+qtTrzcNq5lezHjr0AZUV5RYw4MRNMjpdqMvFJzt7Wcxk9lRdnerfLwOGJl43dLHO06DmyB
3rlFNlxONKxd19uwldxiV4U0sRYyjNUoG3wis+EFRzJe7Ef2nE/IUIyTgR/vhl8/2GoA/67Zdywo
vkbcTHOERJR8wEMYU56UiBuurbaa7qLGVeuhVfVmivtxEw5zsG3RyoS/bID+VW0JJod/f7Luso/i
L9Kdli/69Wg1dHxkfPRg5nBWfs08f5uUGv/xTEKcXBbh0kDS9ftuEJkXVlPvN8nWT0erh/Tf4Hvx
DwSL//ho5Tv9cVLKzu7LmsaKEI8oJ/UfjtZiah1j7F3vxsgZpVMQz9Wu+QrjNLUiMjYyytvgFQlE
c2t+RXfmS4rnTJwnUeunpvDYkuXpW4puYaING4wu3E6sYii8zWxcgkvnQzGa9aYfvFsGgJ9wG2Lf
aSCX9cZOA6oQtjFToHongC24QBfGSttrcfYmGwzaTlKewkTdpgunwSbWnUnanj3nXjBIBEeifFgf
Guv1aYfF4WzQW8YL/UEtHIheTPtpIUMUmv6W5LBtAIsdGtd5BnUBXVi9U2leE6WayQVXYr94sOC6
hT2Bhuijmdx1ulApkoVPQYBkfTOjtUBhXPjGoO9rYBbDQrVQC98iNbVmUy3MC2G6/LUFIVhtOT8x
i712ZygZauFlNAs5w2DYGllwacw+3DYLXUNvQlaSADdcwBtI3gZWMljMdKAcOXCOPkmYp5Q340Lt
0PJAbvOF5AG56KAWtocXcwjriLXXQlkDbkEYIAQ5mWumirkPsgk19nSbS6KMQgD3BF7+mPLBXYmF
KtKUAVotBM6cht8J4wXrpuufnaEddZAkqptOycIoCRZayfDFLVkIJuXCMpkWqskI3mQGc5JrhXrm
/bzq5Ouc29cW9wvMdPAYyRFY271aeCkNmb7tGk1zHZ00o+hpEOI0DFdVlpURZPMu9erzGErnkLUu
kFU5RABQXRTu5Px61wb5oEf88vB2qSoPvC6V2FgC5B7RK959ACmEJMRJH1FUlQxaBzkRpdVIK1tn
/Rju9KmMkAEWjXHCj9c/uaXt7sEfiud/C82vQnOxtf79cfhSZn9RaC5f89NpiIeeWlFnR+RZEjnE
T6chPqYlz86BnbhYmn4rNJesalQFDiJVJi/4Z38vNNlD6aawXdPlsGSs8I+y7liQ//k0XM5CyzQX
EDrWX+9PpyFLYXLYjGS8qbpAW1Vuh7uueegMwuwTA+AvKunyIR707Mbo8vy+7YNmrwm93/dzoDN5
Hmk8y2CZV5tnEysUIQx4iyYn+TBnmwxmaoWrqB7evF4Bv5sQn6V1Nl68MMS5lBeO7/VB+WBxZjSi
xyvJzGeIo/KGpx95oSrCO4SE6JHQ5nOZw7Bqdf1bzhRun2Vmv0tw8qNmP5iT+xDWfbMdrcTACcRQ
JYOx5YMsedWErdhBuY+AdONvDNbL64gaedvNpDxpKcALZGPGTawTKD2KztvX6ChvQmWggcu9fK8q
hwC+0CQSs5g7Mo+d55K9LcsfoEoLRaevQWF52ouScJc6YGReKRlPRoQt9xYLlFBsjHA4po12NZTu
I6/mNTRRaKUdaInS7nNohtGrHKzvo404DO3rUwgVvpFFRjxdiAYijO87oiEIYNDQ+hY6wcVhuE9n
tkaanX+YIR9ybD1HG4XBqpsL1IMySbadJsNtFDBzLeT8whtNHWhX96UWnK1senPneG8GBE5Ylfkj
mNoLbfVwIiwQVURHW1wr98ySB2t2MJ9lyVvaoRwFd31Jc/PNMJunWaXvWsBSoowIW8jGG1sx23Iq
vUP/yT6cIJsDhYD0OYxIvQs98Fpu5xu5tbeZF+C7cjelYwaIwKKXKpxvod9dJTVbHW2cNVQd6Dl5
PmDIuSCibsxJJOabYBM6HZyO2amDW1ULrJlblxtlnTEgYIQiPzRqWLYm2JW1CSU0Dp3AS+S1GDJY
nzGaTok/B6vKiXQAQigGIlICoUPXkMzqJplu3FpnIqbNxl0D1d8f3IYg7zB9r43KWk1RPLHDmNCi
ER4rBDGAdjrzIoNiOWhTW6PSQJWo+ID7gicVCvxdVjCAH2LrMLo0SlWai4ciClq0dIiGID2hQ0mY
z3l2vsyCmdEJNIBT8DFNxj7WXAkxTz40XfBqFAUBZSmFguOd6R6yg6LIWeWqFyskeAeNtJIbpyOh
C8lQh4g8trdjgycoLUs/6ORJxET0eNilfcFQucn6+MgtcVVbGSP4MuZd6rhSzOdWD240FW4VZmdQ
cfGuq7kWfS/HjYf7ahVO0dqts7cok1uX/o40Q29dVc7IC5u/VlF7HB1VHVKNiJcs1vWbSGG7C3ot
ukviOjwWlssW0A3OQw2iihjfjTF5CG+LgeccnAeJBuPtpJPNjVYpPdYTLLDeMIK9IOFj47altZtC
hptCq1vU08VVGAlnM4W9eWztcD7Wia6RVlKLTVlXtzZS3u2cTkekLs+VlpsXIyGJiNMvPWg0KzAD
q6NmLkEnYbBh0fZSO0n42Rb5mk15b906SfIxJ3PH9NMzu2b17/35y/3JhfL39+dDn31vPrgtiy7u
psOP//t/9N++6tcblLRszyWhw1yAOKjCfnKAfOGnTOEyJl1SPxabx6/KC/s/jHYcB50hbQVaQP7T
78oL9IE6NyfiRVOnU/knoxrmMX+6QZdRDYli/A469g9PcPn/PKoJg1rUBZ30eSaRaTXG/WszMYVP
0w5I4JCtpyZ7QuMK8b4MruOlPZW6av2mGC55Wx5Y8WirVhrskYeaXLCYnL/kmoGjYrQb33O6/MAB
mvpaOThLMlhO8INxXc51zpFlh37eLoQN8aRm+9VorWevRo3sYvTbBhltgYfZNqNq5TCPoPU3ZIqF
rOAJcX6UbvFaTeW3IUKuW3ZtReiE/djUHe1L8dTRgwcFJDfbuUEgdT2k0akr49e2hK0VsxBtTPme
eaG7yfnD0DDF9s4wymOvly/5JKaNlZiQLLqFypWpveupb5NRNZuwU1vLQkVlJHzaOFcykj3cH3UE
Wd/N7FPbZQ+qmFPfJeRBpu4de8MfdetdUPFNyNCxs4olwylQ6uxWwzMih3dE7S9Bbdy0ZfFuceUD
FW1COhLl7Fv2JWHloQdpV1YSvmZGN2yqzK3W+EGylarKd6V716lGrcOSSeEJMGfqfFaUcT00Pgqe
EzfNsbaCUxFm6zlmW4gPcisadQw9bx8a8o4sg8/YSj6cvHkw43AXmPNzHrJbFMyiXN4kTzB4U4qV
tSFIYjOWyYo9tNfoHz6zxCuxWYpdSTiR3zfYK3NhPFmhvLM68l8IjXywQuOzN+zhMJF/vjJk328t
s3/OYVO2qFhYpNrbvuvBB/ZdsrPt7AXJZro1qh6Ig2R1DmDFr3X258LSCMVNt8IB5oo/fld3OEDD
tCINoeJdgwaKi1fa6y+FzOLSIPAM0WRbXcUB6NR5GTU1SYBuW813TkYgbSG3fW3VPhoNwh5TrlfR
jWyL5pa4rZ4nTjpK892Zh3hqeQ9zowo3qpnvcQTzUwt3GwbDNhD9/eyaR7Qh5soxMnSKRK6tsWGg
I2EE1pXjs0uI0MqxqzehM7kvyoD2Cla6EvHersm1LLVoLwoS1TUHTaAQ5c4GeKqLuCefXPP2XaQm
7hb3gzi8kzuWA7uypNo0XgeXe5rWBjv+TZiP38paostky8vTiDzI7N7a3quQJbBYtZYRXj7axpWF
FGdNHCguzexLeJQiQUJQ0wyb5kuYxMuASMnoHKSPdizNrf0lYwKEiKTJ6irkTbTiSJ10N3cu2pcA
aqrj6GLWY/gCwXPTZjxCKyuygnOFGTnp7N530WYIGe4jxwvvGbRqJMvL8RbA/TEI69jcjM6AAQfR
yLweXbutD70jAiax8djFPvPmLF8TtenjYrotS3tkEJGYxnOqhIivs6KiDCeUBXqM7byLkOQVP7Un
/ANsJfGMbEBASfLXYsMJH0TnZO2LEQxhsI7MGelBLXI7eE1lHFnXwkDdBcB07Kt/PZO/XHw6t8vf
X5f7Pgdg+6P7/y/M5et+vTAN8z+LFBG8GAsO7ktu4N9aTus/jN5gRklhWvA56Cv/e2EC2FhiKqSA
gS1IjDC4xn5lbwiwHOi86d7s/+r2/4FlcrkOf5fO0+y6bDU8bnQLPDZ+zj8JFbseCCm5NOrSi2OY
gPeFF7T76UW5/PLNfmY1/gLw+P2H8FfQViOhIu9IGkscMV33z3eyjismSdK2upgKzAUnv2wxtkem
UZiXSDQ14yYe/PR2LmPbPUdR5DwzkDLSW1fIyY9EPhpHw678diwPdTSe4iDb2KiE51hH2UMo0zRl
l0Bq66zUDlPrQVct7zuBx3+KyM+qnbsxbvfBxCUd5eOWY0tfS6s+ahURuW76lk3pdw3+cV9VBziw
zzgD2cvH0U3YtRvXyA5O1NYM4JvPpnd2VRardcaAbBfXFi0rFvtVJ9W+HlgW9w6pXe6+NlufP+85
tMVBeHQ3pl4dCST+yFoP0t5oYSnMP4KKAA43r2g7xQi1mZT5KutPQeeotVssViJlMAt0xNvYFkfT
0ljTWMUDUVgch8a3ZqTPNOKO9B3AQtGk3lvbOk5WU2zrpLouolGtvdox1zIOpB+UDRE98K8ci9iJ
cDKv8xCTa9eat5nyQkaq/bOWmNtZQVOiS4SWbHSfiUOUsxsbmAMAChWldeWoxsI/Bd0rS+tkbwvE
7oiAQn9M+gIgpsGqYqCXsKr5SSc3x+TtXJW9dieVhjnPoJ7IPTIN3fRFqxtrZdCVeHqXnLNO6T4G
yiNVF924XtMvuiH7n3czKbdej8gjV4ZvjTVSi6x4CmbY4kHtohwL9WPjwoTsBmc3O/K9irHNqam5
6h3r3W0hSblJ/MmpjliHrd267jzmE/anFStf1PEHGxWFfivZRwa5GwRh+WWYXwajfdOTRPiNhb4T
Isshi1OkfUO3jd3FWmsCWrDaTm1AHXm+LPoLq5JvQ0hSvZZ1h8iMmkWEeh+OHQhMJ+xxEWD8s+Dl
Dgxc52UY6LnJvWEuea7YQEjyekoFq/d4sj+TxHuVLHzAjYCGMMeUcMUgSq/ZETY+Do3K51z5Rmz8
fWFJ0oxS8ybMHGcdlRHi+XF8HZKMp0fVhGsqXg/HmV9SOwATwrh4SIoPCwT8dmjEtzTMEBwQ+zhq
bowpsEOIpn12mvsCxxs3WBr5jqkjLx6/rhxntoGedibR9NUXYAKMaB3sK14ND1JN/SBDNa8YY/OU
e1n6LRWmd5DzmFxsUz3UNZFhc/WRY42O0yojObX6oXc1+lLUZpjrkMWlqrvqmzh5sqwOiHKQIf15
LLzNuJuiKTnlJRtXTbtr+sRbBttZTamV48kYiGzVnLFcN15V+m0m5Qptlh+aFfAOk5WUzBn9E38N
Krvis7kEhJ6Jp3uOXPkRi7EGfIamw5r1bZ5VcPCnK7Yn37Wxv1JEvuWyf/l/7J3JdtxGGqVfpV8A
PhgjAr3rnEfOIkVucCiKxDzPePr+QJdsSpbl4703VeWik0kmgcA/3Ptdv8V9w5lzU2XGmnCdm9yw
9r2h3YC0XgnNvzdj8VgrB4m2fnR7/wriw9WYBuepbjYTSlUyJr6iukiYjESruG7iNaTmZVwCs64r
4jmQ61VFdyFlvq5KamISMVfInek/XPQ2kdIQXWqXY1ORcufGa8whrzXJIWY5PGj1q9NyJXZCbiwb
RPzSy3oqJtfr2ZlE7UjjoXejvJd+N2zLsjKXkU+6naOKpriILetzmtvEkk7Eb3SZry+TiHNrEed2
QZ3oTNaWQUa1VAlrAGWl93FZb4gJ+tz3yX1dao9YoK1reLzTFQ+8clMl5XNpGvugsr4OnrosJ0ik
9CgzJDycyX/GiqJeLbUIu1I6pe6dnarx7KfBbej7X5ANa8s+bpNjheKD3UYDVyRDMGo3wWNm8lfs
g7swzKOVa2mHtqs/0+xM6AWtdOPNrJiCnw/4OM+epRtzBpAqL1Z1W0yXWqO0OxGhvRxHt1/7FbEl
3OX1g+fWUM8ame64m9WqTLA/ia7bdUbTbylB86WV5iNFth6wXChcWERIb9HSObs+cY0dq5Mrso1v
ajuYVSbbCGDwggEfmTmIwSdh3LHZ+VwZw63vVGLv2u3n3AWGZvuT9w/42lmT8MNDlwk3ASWCdls6
807w40NXJG0BIatsr3JFuWtcRupO8FM7dKHRP/FFvq8i5gc8i0VhWAYYMUkPNi/5PugjcOMQ897X
/ZXyKEjvS+iI2j8gQv7pLeavf3iLPimTpG+T/qrgxiS8iXDGJ7u4/XWp8tM3YX6gS2orFvs/vEkd
xPEQZX1/ZVV3ZX4aNCJl9r9+i7/+WfioPrzFvAH48HvgsFK+YQ/9la1uU+iGabOmCsnkczT+wzsx
U/nhAvj+neaf5MM7JbTwqSAc+YpZ3cLI0JybhzZFAbXuUhrH6feZ2cvwf/3X/Cdl3veri9+vAShx
jk1qCyTdmUv+8e0aPxqmqjF6Fm6fDfQDUtz5wXFMP79/fv9t+h0+0L/vNR7bL89/7TPm1/zRZxj0
Be8QPUZpBmyWD30GebzIXyzwOoj/haQF+TaYc/kKezBGcyb/ipzr/2+DObZe877L5UvvYb3/arVF
2/Ld5YglCoa2ZL7HGBBylDHn8n28PpKmaoiGGfTLJkKb6WbOVrCzPhKXMReDRnHtsGnZtdDK0M56
NSqr0KA6tQ/z4bzoMx7ODIadU1VBmGRYjeqyF9uub28TNRTnatKQDOs2JpUXUGNouFP0jqL1yADt
966nNqFE9ozdb9vWeBARW1ILIIbqs2pnh0F2B+y7XfpF8SKoIvK2+IR8syBPFeKc8MuXZERKm9d4
jdBQ7dAFDwi/8yC7Zt++NSLbvtIscfRE766bHhhZ2msefEzwgUlSXo1e8yxb/8VL0diy7tKpwIty
rzIKGPJ7bxpiY6/cBi9nKgJ3kVhMqLyRas4Lhb302RETzzBeAZ0F1ORaX+tQXAdOeaEaMH5FEH8O
TeuuyV1oe5H5CnZwWHuT/6lighIykG8FgG/2dDuvdL8yxMwWURDsYne4zvToXAvzMc38IyKlOyNC
zetMgAoqU78rZAQ1gT9Cg9B/mSBSWJqN8zy2KM9qWX8mTQRsdxGC/mZI1dv61bzKXwUgOEJ31smm
PZzUcYRtOGbFm16xhBPZBauuY0eKzN6K6ptW4PsdHJ3ovyrFNiSSRYR9jb1VspIT1EMMuy36UpSA
FW6FpI4B0pIuG87RPe4c4pNgll50ItrjFnbPPkk/ZtnhbJjza7QWe+0UOi/uHAxUjuZbkjsjgvz3
2KDIdC+SgCihLEO16sWEuTdOGm8yBi8Hn7y7YA4h0kkj6udYIkKrdDYt+Vs6RxbVBvPVyrxAvIsr
1ZoA3IfwgI056shwtG00hx91pCAJ0pBIymmhTLtLYo0zMPlk8NU+H24Cig/l9HQvwxHLa/4lhQ3b
8pw92Jl2bcwJTMG4bklkarELk6xOHp3eVNZekNtUiPQwNM7aJs9pNOJLppCQJGeTs07mk072k5OS
I4uqIaezkp+qBmxLTVKUV4D111TbLspyzmTX9ZuUXCmdvVIZRzchhThOv8der744LlWPERv1aqy7
C1Whrq4ENPyc3CpH8eE6tnboEsveijncCvFzvMp8eQIR/ILxAv9fMz4UltkuOqPYFDVTtrxBAzyS
mxXjxVh2mX7RJ/2XgM+ath5yZiagseRm8dnKirPLklooGBuBVdOSei+N3m9kRS+vJX2J1ZhFWhy1
x2GMy+VIv4Et3vna9M65L010Gyo6lR6VbohMaBlDqo+C+klF5ZF99ycjnu4Nrb7m52OvOgOde/dc
DVmCaadd+VNHB23EZ1Uy12wn/aZ2raexcYtLH3EdnnptOGjxqO3ztCequgtPXVze2q32GhTxjRKZ
gziJonZhW9iSPMl3maoADSDuxMorweNZWrJPU/M60nFTKMsWzIXraaHlMl4iY9YXo0LhY/rY0nI2
ztSKCaE09HWDT2yRqesLz9FRS2Kg/u85+77MMthY/f1zdp8Wr1X4nPz1WTu/7tuz1mBwN8MP2Vu9
C+eod7/N9Axy7HUAaBTdqDjYQf35rGUQaJHaMue/UiN/l1Bn/iZgoCk4u0zj3gG9/2Kmh535h2ct
GD3bQcxiUf3P470f6nEZkB8+aOV4HqyiMEjWIOD+XEjurTd9mjKHkQZxoHTRFvbFaZcLRuVseLG0
r4G0xTfezJpWgHZ2ldFJhvTCfEFAUC9z13sGgXsbe3F6NcZgUMtJmBvLAfrAwLI+50K8BYWis02B
ZhsZ4WZ4xay1rMNq3UDqWGDHcU4Twv69liUNYzVMdeNyEMzdI6gWF4Vu4O/EK4PRMz4Cr8lWyDvG
TeUwNWpKYtkT8LJLaLZYV7FZX9jdeGDCfVJ54x3TMIk3seZiQUAzqDgweJzATh03gyuDldXQ7pbM
UjjRZLEqBzrPUrXQTm3tMaFLKsSQHYAk3Bki0BkqYCjBuFIw0x+1iyoSL31GQ13m0tiiKnmbouhJ
9iHgJLsz0n3vSe9UQFL4hCnLw0UZ8DSyEIoF0WvjT+Yj4yUMq+wbNh3n90rWCQoRRGEk6rqZe4Qg
ZaxFr2sHuxj0kxNmzTYMTKCIFTLdSsprlfjRLRPHfR+Md1pBZZTbmb3VVX4tBSc5dN6MpYItGAMx
LZ1ijEK23iM9HGPtZASoW+TIEfTYFT7OYN2Kj403Gs2W6LSRcdRUVaK6DPjbdaT6hefRYDa20Hxg
DCVEMb13l8rVmstCuZDQTQRxzr5oRvNOM9sk3POMJbu9y9zLENIUh/ikcPCQLGp5ly5mHsw0sfvW
GW58MvE1k0Ez3dod/fDqv9Pr99OL2fnfn17H1+oncmCD1/xxcklOGsHiXkg8YnMU5h8nl6n/BoTb
4OD4vRf40CVgp3hfERg64Unfdwk2Tgv6BF3CzCaoHhHxvzi5JD/Zh56VJsFlWmGwjzAFACKWBt83
CdIofIQ/U3MhqS4XMag14G6BSSFY2u5Wduq59vx+U865hcY4RZQeaa1ajLoyNKPH0MTQexl4eVvu
0X8WKUOvqNfXhea08qpg8NpfZX1xUVhxeIcDD3oWezIJv2sCsQLw+clKHEwd2ehvC93Dv+HzxGW7
ms2WD9OeSAF8V6+XhPK0e9vTUkhuxvvaLQ2ApJE4DSYMM5/VijqsNyZpG8aB9Iwpv/WJxNLYGXgR
w1OWrVvX8lELS1yDQ9eIFVHX0ZZqolz3pWdsu1gY634oJxJwRHU/geE3qNhHMa2tuh391Wi607BO
WuyEnO2ehpbVLjTcz8Ukzu1IYNCqIBjmNhSimtPAC+yFyK23Bu1CcxtbCbxCMadSDaYIzG0p+efR
J6l46m03WhSw3CIK8yCXe1AHlr7+7xb9/RblnvrFLRpmfv2T6oIX/XGPur+x3XO4Fw2Bf/+He9Qy
8CMxZkNEMM+nvjXy4jd0NUoRFAXX8P0+/KORn81Q3LXSpFqRlCb/ygwl57nhn3PF+RaliAG8Qrgb
8H9Aq9/fooZnISIppHMRTJpVfWLTnqSYCceUti/Q2FYrhObhuVax9bn4fZ/NZntmAbnvu+7qfe/d
vO/Ax/d9eJpXaDzk+5bcIXZqTWrbgTBUZDsIfqf4OgdiUgAzAWn4NPQmgjvLuhhFVq7sDPIJijgo
FGXwJZdouM2Zj0INBsiHXfwAOoX9G8W0GY+rHqxKYHif8e8AWiHrHQ958g5giZMcFstMZemcCibD
KuC7imVOZEp2trWRtEbAmaEdehAnk36tN6D8vawrvpjR9OQTJLpsROqR7ZZt6oG1Up5CLYq0XRiy
2Biq7ItuVREeJs9a4fj9FPrai3kmJuWc22A3LcnHkyCz8RLvzijVdZrra3fsttF0bTTiU9/VD0L5
axu3v3v+70Z8vxHnsvjvb8SZrbcKX/2fKMbnF/5xM4qZrYcVepaGz5v4Px+YSOEcBp2U7I77TkP+
824kb4N/3ZTM1d61cNzd38ZqAPlAIEMcRmgO9pgR3r94YNL3/3A7Ytsh20FxTxLtOEdFfX87hhHt
LPQv64yxGJU4ibUNxAOiUOM51qIvYJh2k0TZY+uFOayCbIRRnM9ohcw/EXUun+MgIy0RlaxePkUy
MYyr3qjZnUfvFVw9F3MpHfvBt+YKr5yLPYKxqfuMWkdO5M7lYOpZ3iEehd6sKRsj4zaUbmIfJ39K
aqjBPky2yioq55rY3W0nsuTVIx9qlcNBSpatrdoI1YsyNi4Wye6mKcdmb5OGCj94CgiiJr6ufZps
ybBJloF+NFvXO1ZlCZcrI3FiHQxuuazKqlljuQmPTjPaJ8+bClYdruc+t3XGTM0uvX7aSltMOKyD
9oq6+nkcsycZ+y8R8dVrurN0WQjntWiAFrs5sukuLe2vrP4oqZl8lT4gzEl3Nk2stU+98AVVsk4U
K1sqg7q4j5gANerBYIG9cuPeexlC0e1qK8PfyO72pJGXvYuNSl7Ish32U1GUW9vp8mXVIWVPZ/E7
uzgckhVkGLfzzvxxSdKAVlL3NdqzJj2qllkOsXHyPDrOtMexHSxCE1W47QZbGTIWqXxEAyjwo2Ve
gy6VYH2p1l+VHWhb1U07eqZLK0IfOHo90OF65r97LOJrm5BFpE0rWMwd43tnmwOxIs99WDZBBcDO
GhrMmcQPuokzrCpMrOtIK8xL3Y9jYIKOdZMJkb1Gul0d0jLMHth+AScKy68Zior/4uj+pzn65al1
eo5ff1I9fDiwgIFaSHAQ0pKcCfCTAcS32QRSJKoJygDyb2ba+ofZBMmxnG26RP1vufp7ZfHtwCJv
FuEO5TjTe9S9cEL/xYHFwuGHA4sSxMHeYimyFVhY/Jh3QFdOLVlmzmXcJdgF/LT0bochhvMozDDe
9jaT1VHCaC5ZogPATfZ2hTrDaTVnF3sIStLRZIvV6/T4UaL0zUAA+sKenQMWFgI1ewn62VUQ+9lB
m30GcnYcDIm+ESnjTza2G3dSr07UsR0ewap575YFgXkhG/ojvoyNprr5roram6araWoH8ZQMLhrI
KHDXPWSNRM9Jviy2venflEbWrnQxTivSw7tllla7ZjIu3Np9hbJ2HVrqcirVniXtLaCurZbXnzVf
FcfMQ+YfENAT2OHecPvPCbHzSgtuU9P55IdqWDDaCXBnWwU+Y/8R787eUsU60r1Hy02e22CO3uxI
Ao2brieTh01AaMsF0u1uWVWM8WXuHssZLxpXJra+5KLEWwR1xD+Xqf1cBc0l5pS3hg+auXq+nPIe
db9XHFIZS6aP5J+7aqWzPXSJFmacnsFph6IhC8tYWXI8TJ72WVXB9djbxB010b71M4gUsp6oXSje
1AxrMjyod2x28HY/xvRVOJg5wKxq2vhjQk5OEbzUKdLesSBMMDPGLRj8Q8L0Zpsq8yIryB3rmyRY
kTJ9X3iBvbaqtxYh6U7Ewl0zluD4YvdAt/umDTWQCte9LBMWBlOI6IFIuDtVKUhxbrIDXX+dkG/j
dvPzkGM3agq5dPyMcaruj09jNh2Ub3+V+L7XUcfTBUHBo83SAlrd06BP1yW6AcYVj30BwKhqgjci
nICF9YSwol29SCVkyXpwwf0YNb1n/4q/BPiR4TD5KPxNZLYvI2fpwkJ9Krv4ZaQZxm1RzSDzUNRf
OjasJ5z9TGLS2TDYoKZLVv1sI+T3h9w2zt5CzwlZJHQYZrFoKYmAPOU0WFGPoJEpGQ9DZOUTn/A2
LkKP3A70/htXA+PDikNj2VGw/Bk7/XLiZoCXGcktou/+ukAgs6DAPlhWZGGwIe+u5DWIrLXLyPcR
Ag96vra42vDHlFa8iI0R/6MVDnsEQ87CwbByUGrgKds5/RrgUIMCDyabTn5yD5VI6f4lICn0DqZx
ttqSp5PrXmMB9ld1El2UglxY03gAkDDeVoYWP2ZGBPKmhFBtMSMyvKpYq4YLshJWDNsF0qwNOH/I
CsC54A4WCkHlNjWJOpcZKURG33YXANCICMrhn2rjOTahb7lInVqGc4s2QQNkhvWXqtW2Bky+BTGB
+0xAybUdddCU5RwMP1GrfA5GBL1TPZlMIhYQEaHD+h3y47m8zwIJl4lNEUjbBKQfbq2X0jA/R2lK
IjPR9Oire7XNpoFTKUaknafs12ot0unyy3xhmPPf1xMpKwjvWPIgT/r+IuSOWvbEk0VudY1UeoJ6
42wMPz8ao7UNU69Z5y68lmiqgAW4ajkEkomuavkLTfDCMF2Bkhw3aZayKgxtdOIo3gHbHZXf+ou+
0LehEz+C89m2Wn07xV1HyA0w/IBco4ytR91WeKlbqkpQWFuvKHaird98ywtgrubtCrg9NywSJfOs
hvQuraPk5AbdVcYnylgSzHqaExbhk50A3OGBhm3T28Wx9dTrkJsGwq/00MQ9WABj2Eq4bP/1Nb8P
GFBy/H1fc8rr//P/Mv81ef3ZmIGX/tHZMAqkQuB5atJe0o38WSgAXSEpXuF0RbaMKvjDKND+DcUw
miKsNTzC52rgQ2czTwnBsjqwM2lt/lVnQwXz3ZiBZHvUzdQvyAV4NP7o4yGpnfsmc6OLNl1PjiQ1
Y2uXDx8+mJ9IVtA7/eRdWJIgy3ZsFjYOn8FHUUJJGCkDPye6aPIoTFY5ZX6ACWBUS88y43Vk1RWc
DNMgklCx4yU8Y5lM3rHjOXqjF8F1EpLm4AThCbU+RYChOZgHWjSNRqgvdT/Y92a6b7vgHHb4VVvj
pE/9dT2a53LKj0NlXTLgPOhRjLyuw4Ye6aW7kUR8L0i5GqlA3K/EtfUoMFO+2LALxzX+hvWG1Flq
7XhBGpZLAgCvHyRU6xGHgzj02pRuvX6Qq0arYSq45K2T9JEDq2oyVj+mfe+hFdliF7GeTBbECw1N
zzbU40Csg7YsknU+4niF841AjhXvuPNdqIN7wwIlxRGpLkiFHblnASfiv1dYmRqrsNT9ZJYCabSZ
bCttooEw8h4xIa5Hqcty2TopDhoIoY52qUpTO/P9i1UdkokwKyxzLdsqjo0Vog0W/fPUt5IKT2xi
x4cWj4664v1q68kZfVkfzTHvcjAr1g3Bps5wFaBcIH9idI9uJeQBFa7/yKLOfuiwpQJLo++1m6y1
9wrmDQFsJo6ZnQo6yhO9r91Pea7A2zJCXUNdtVdmMQT4ZMGxogsZ953pdBdu28p1w2d+AiJYP9dU
jMMIZmoc0B+4ZbjXkMOuGbszjiKd5gZJ9SHSQXvTS7o3EGHwI0ewTNXoQhEq4IcPsb3qcoPxdvig
Uqc78afrVqIMp3XVMMeqmZNTug7hQRBas5Y8+7ZNkxjLzPXsizrozJkdX2+F1e16O0P8OwAL93la
rZWWnsMsOUM1zDZpFV7bubNXuNlWnkh2eUhb6Fv6Ve32t40hu09IQtUbOnSK3Hgl+kG85WG7ctJ6
RQC7cadrhCyLhriYPF67WrqJFY+egUdwLYqvdd28ZmH1OkbjPVMvsg67gzukGw4Q9oLT1h7086i6
leU2O7YIxJnj7q26L7rTUotqm6Q3qOvAf7bjC1QGoo5fcCAZuMISaztIQi1ip3t0RPglmYS9FnVc
HyhDfCzN08lMSRj0zbMo2hV6lMeCP1/dWDyclFx7nSAcWu1afXocvBo/EWlCeAQXFkBVckMyfR85
sCQM/LNImK74HW8wdOEkCiefotMDjNjhxAlsAQrOM6+bJKuRFjRH3xy4mKGcJuUA0N2TXGXpeHS5
ifRcws+t8Puokyqskz3kD9rULGNH3ramf006+wlk07Iz3VPadteBS8lrFmvTg0Xs+3h2x9hAooM1
uK3QN/iVfhFr8VMeG0+YlQ9hHR/zRB2i1rieemOVQJHMk+Ts2BH2vnI8TlLuClLsWZ6ML2Usd63r
rNyK8ipAgzBO/UHl07gvpyw7QPX9mo4kI2sBuofRJ93FGax4W7oFRjOUzdOolZtfn7w/WVEbij3T
u8WFhS7//f3JG4xGWo8iARFXxua6S9wRzTHSEdJBk1OTEqQsOxCneZCysp9ejaKsr8sy1u/UpBKQ
9sMN3ryTPjCucOWDPjRbMgPeMqIIcD0jsCdIidyrUd/kE9d0guEz95wah7GCrlsC1pKq2cEh/AKb
uV2GUX1vsjZfI/TFiqWjuk+yZV8u62FvFED7Gy9D5FVtTRJ4EjPf1qn8OibpLX6PQwujc6qTQ9mC
9Sjyk6pNd9v0I9i5MdyZQ+AsCaxcCiLYN4EdbX2a7VWt1zf2yNioCMRBD1zua9ZBeD+YOkXV8CkK
O3vhCvoYczQv7ZDAz1IIFuVhfO6K6SKooz0Q+63DdGoVogXy3t355FIgefE3EJjWjl+cEh8cqszg
KST9MWnTHc81LCAFeOF8RGQXVZdxlNyg6p1TG/DHikwLl1aBrqSqrkKr7lbpROdbVdEne7TZUw/h
swvzOATqQK9QLBWdXByXMw6W1VIKTsx4jNJxlVrEBrn2ruccsur8a+7OmiBUXr6rffUMMeHtLBdU
lMMiTlJjzySJs6w5hVJ8NvUEI/8IMZgeYExNYxlhcgev5l9ak2OsAAPNtO9I7SDKtvc5Ma1H5kzV
Ocn79B9ktH8ZsDI4ZVILUX6e9NqzSetjiUB13YNTSyGzYui0okOFkunXN8P3GxW+JVgDg4EIS9l5
hzOvaz++gyVQZCgQHBeJiIiVvQzbcBcWN7BAuBJQGYly40brX78nsx2+6597nL++6w+D47aIm8K2
NO2sj9ktYhKmLvwPnoqffZvaI2BrsmyU8yA8a9+1UOi7AQJPkvUz1jbMl1k1fc41eSLXQ19isdkk
bm98UYEtV6kefRIq7Vd+PB5lYj8KLx4ORoIck6spy9ftJLO1KrRyZRQYAGQ2jvt2kNaXPCP2FICE
haMxfEm4VtelLoIVJ/C4apRALda6t62dTHSs8SdaMHOf+rjIxuYr3c2Oh9JdXVUbwbwUY260s/RA
Y2JChULOfLYdp1ZfkkZDM9Q7oDHC4WaW42WgcZGFMM91XCwfdfdW1r05Cxv3lU2wa2/fDRNuFD0+
OA1e12pmBoWeBfqtIddZtAAhpujIiGOVjZ65shKEWZYXc8rqD52OSTqM0rNCxJdV/brzJq5gfR03
fgoErljlERKxYorUqkq8cwG1GwIRHAom1cofblksU8AV2l3bAHqwrEZfTrLZakWIwqbNn1GngmtJ
r0v23ZDbmkVtEE0P2JN8+p2kS14VUFqyMdgNHlzprmovCsEzEhL+vqrsV1Xq7dIjia907K1f2CfZ
/y9V82/F4e8+wl9dbXMh/kGM3mN/7EzwVefolF35F9qmPJb3ZCvvSZQ+KR49yxezX9Btn7On/vdR
8d+++Sx9/smlzlKQfaqJxnm+AT+8OQtvlcXgnM7FyllkJ3NZbCDlGEftQW6IGv10qS1PD90aq3f3
zH8kF+NJXxzCjXdhETL6Dz/N943N7/edpVNeog+jjXJ+kDiMes+wxoiCi0C/AlG2CPWHqtv9+u7+
/sz663sw6P34C6OjhesRJAEP11e/Ip36+tff/6e/A6stts22NYvNv//+2K0npkklD2/tqkS9y2LH
L34/of4T+s+hpH/fvp+fv75Wzz8Z8fOqPzp3AlU5kIn+Nh2SkGcXwB8jfv03pH/07nRsgCkFX/qm
ECDvi14ayh6PGjb4LhfFtxE/eI55tK94gYXm/9+N+G0xX15/3uxsPhUsHby+IEJw0qj5h/h4+QGk
GmuzMfxLz01pZ0GENzVKtQRquNUkD0UM2mpoXOgN40HOgPEs9Xl0tzsd8rg9I8h71+FkhMuRy+Q4
oDpcTG6Eo5VIHgOC+Xxeg3bCRaagm5MiinY7dN21HRYvRlsA0VPtRdP6qK+7RwEj3YCV7szQ9NAP
noSbrDSah3se5fouo3rz095bSo9Ad37sfNPCYc9DLQVjbD6SakFM/AxrBxoNNUkT9oZolzdSvV9R
C4FJniHvKo/QJMJ9z+PgGgj+8wQPXpuJhK4AEZ87dHQxgB9nxse3YJqxRhL5Wsv8i4IxH8CaT9F9
LKqeX7GdQfR1YVxpkOmjxD/nkOqjGVkfVWTa16F5BU/qSs+sYRGGSbPsZ9R9QnWxRdDTgcnrX2Cu
w1c15nSuQCWbKXCQOujRXQc/H5kDyHMd8WVtJfKEH/e2hrafpsZ1nfXVJkpIsNAg8geQ+YNmOBY5
4RWyD7BuN93eN4BV+DnDRiQJOd5eBwZ3WKsZzTN9Iu4l24HcarFyyoj5PgEByL2iDXmHX7U5PMDv
AnLkM52h7xwtYPVKWxekDYgS5JGtCmaOnnc9zpEEAU7dzejzNHWTFLfdHF2QzSEGudC2+ezkDCVF
bPk0onra1r6FOrQIaE59CVSbVARYe0jByCwgKMEjbqGc1lISokBd/NK4AakNc8ACaNl0ncyhCwPp
C4nsAVBUxRl7KoxuH5sgTNxNFMKM0klvCD2jWXdzoINpljc0fsFKsiNaRXPsg2qRxuhzFERl4jDx
2+mlrXQLtEULPGuOjojmEAkwWnIXRgRLTKM6s0Ug5GUQr1VBbmXlGhdZ38xbeS5lerph5XchQQc+
cylDE7cZORbdHGgR0kMtaiWTXVMPmGT9/labAzAIVXuBtoNtJoU0wSKM5cAcmFECivF0tjKlndg7
gI2PbmR+odvZyjluwxzqs5ZqwKQ0hQuWTI4pKL8QG0vQey9LomFrV1yzEGrsgzExU6NAd+hYh2pM
F1ZPMknwMPjc82ascoYnLfJ1aFWj1VhXsk8f+6yoYcLjFvFqkkVLZ7wf6LfpjJg4DyFBev3ssYFS
A2o9h47Y9ts+QQ8U4qjwKnZ6RuALFv8w3UtFZCkY87sp9y4rUZzawa1XWC/ewqa8Na1gn5nq2Cnk
tk10REawNWmcAy046xFLqnyM/IWdMA5KK/tGz0W3Mvi+m3Iwjspi6kMzuMeyba6ZvT32rr+re/uo
a/qbaOSmjjHc54j4c2LeDrk2PptzkVfOSJdyaHr82504hFOzUej0iVqKZNM8ZH7Z5ZshKOwJNwYJ
Y1bf1ve0sj2TCROwutDrrtpZoXKe8J44ByBAiX9F9q2v9k2p2U+eL0xEAQ570tSNmxUyiAeDycTa
GUwuDc9P1h7Xy87Owb73EVuAnutu7WBWWnAVPrZ2u5tQZmM0EbsAEhtiYKbzfeiTnpJ712qaLoes
bZbYA6clu9mrRPiU2Sje12kRcjzFicniI3rzK3ldCbag7P03I1LLHRCFZCkLecOMh3lCd186cOi5
i7fKQ77otmjF9enKtcNjG48YIwr92Rg4x/Osh4md3hi9kSybxqt3ZaKFXGve5Rjr5nJsgEVo2AsX
md8b8T6bswjQVDzLvAvW+DQqPEPhKYyjLybmqjwavgwEGmTlWCwmIg5gunEfzqkHkvgDfThlzA1T
TERs1rJpS7e11Tp16c/JCR0RCgQyYo9saKgtPNmELBgUbKAIABsncwKDTHsikclkCOZ0hmrOacjm
xAYSb9JFZIaIOxGAwizaWp1u4APL+4UpypswcgAXVhLzTXmVz6kQGMmYNrNSLAPzwg5IjnB88lIq
4upcQiVigS+TkAkNvP8y18VDpLqXqCeHoh+SYz8nU9CTHT1AC06pFuDvL0eHDAuTMItiTrVoo2IT
ujqxGorsHlh6hGP4S6HlZNqxKs9gSC9JcybSNVkhxr2VLrAf0COvogPP1s+5GpZqjtGctMFOWPAv
Dhv04Qd7TuNoQzxMIQEdcD84n1lGxx15Rlp4C2L3uWzl3iz5/wC4diR9xBZ/ah0ybTWHgEjSQFLD
f41ANjmkhOQaX/XIDWk6EgTIEUnNYPteRv1XT8691q/qSaAePyknedG3cvJdMYLglCEH6yA2zh/K
SRQjqMtAOGJZnrWof5aTkE9NIG86ibPu/3Qm38pJ+dvMk7HZEDHRALL675Bu7/OP78pJNK2o6GwT
TSyOGnvuRj60b4pdE6k7+nRppcF9aVHvJIwqCJwomR9M6UaVYmtwETmjxpDCvcehz8q5BQORuuIu
UuRf580+jaI1tAGvXklJgto6ZLr6KSG2dJ2b+rWvZdW+4SAk8imJtC8my0nYgobVBUfpdUBUnUwn
/SeR0a5ueOalbdRe6yyeyfsQt3089+qEmLkOAP8hs1ZFgGWzHPK7cdTucbB+siiJFrrJmQyrbC+0
kfBxdTDAs5CK9VJNFkQE0in9SL8pIvOKY+He7OpsFTTcWV4zT/0q+DJe9jZWQOwD09h4NotzqE4W
te1wiXn0mWBKwuQ7q11hKvla9um0anRG2O6g1r7ekKqTB8YmJlIB4Klmj/t+yLUlK/qj0QKWi7mr
jeA4tTMpM5BIDKCZGWZ3rLriIdDdR82WuBUT6zrGlYdT8j4OAcZX0fSpqfpN1xrFhUFwalrkb6Zu
/H/2zmO5bWzt2vfyz3EKOQz+CcEoiiKpLE1QsiQjZ2AjXP33bPVxt632savnPenqKluGSILYb1jr
WYwa4muvlxUpOfVVmO+0fLpP234PPg8zKCWpqkyOrxtGj8qA/bOipB1Y1XRbtwp8k8j2lYlIlUBn
QmHRxh/1qZr8me2UL7oBhkY5+J2kZpcJS5dcnZSVm6azX4xEg2MxeI0m0JYGqpIuSNQFMYU+XlGe
WMa275tjkOGWMZgtkZDQ1NWCnVqfbzoLzsuCJKMdZEm/ba1DN2I7Mkpd96NCrE01+JKCc4CwShRe
T+FXjC+hXcLP5CwqM49hvOTPROgDIkN5UcnTReFHbJ0GKFRDF4Rzyj2wdhUrVyUQT+8j+zIbDBAq
RXMTtax2wPuy54dTi6/KS5Zz028jMc5wUDKTY8hZulTrG2a13Trj/r/qWUQ6irmDvnnPgnar9vr9
IDrND6NWXXatrjHL0JPLqsD1FRJdsIosEACBIM2vGAlwgi4UbCZNU6+q0dDPEH+oT1Ox8cyK+Vd4
kadtAL9cf2GsYaEomeKjYwCn84h/mFx8n107sESJM98aii9kIa91ET+WIWx0D8ZJGPF5JtmUHU0T
vM2Y//F0/58znk8TCQusJE8bLCiY2D+20D8+IypjBIWueNoxy+9S882ylr8dBP/kEh7dNuI6npEg
rT4NPaYqHFtkk+Yxbb/06Wmqbgvv8t8z6kOyIKfPvz6jqrL9ydRD/ty3Ywq8qCEFioacx5twPr87
ptT/gJxAhy2PL2Anf51S0EpVxmkOIwnwZlKT8OfQg5Bz8AYq6gLDNB05Kvknukapifg89ODIM5jK
AFSQd8iPd2DSIO518HUfcxUVD0xrOPSjpkYuOUlFEZ5KKuWLua/tZzsyB4ZySoF0jZy04amZnfbe
i8zyxvNia/YB8w9EHRVO99AavUb/wBBiZUc4xc1YuR91Hj5jOJt+phMSro/2ySXAow+1Yy+gbmTT
yxDOL3oUmHzTru3WzQmqUzd6lsc8QOnbtdRejQLgmdJcMF3GSNkiC2Mh26ICn17SumEcjmYJwm8o
A6HA9MP7zcBVuzLKaZRxfu7C6r2dGTbNQgzQn3L72hTWdR7b2jI12I4F49XsgoGGA/BSF/UNHuvn
yE2wfwecFUWR9AQCzsTgxsiu2eWzITOt68R2LoXbPuq48FOE4pdwnfZ9lNIuBjqJgq2DobEJkbwN
FfHlc3ot6gqM+FwdjEaUi7mgWG+k8rCBikY6oxSrZegCO4OF/gg09LIokZQ4uMttsi1bTa2Wvdq8
z20zIQ2TWdltv81aFOnQxjW6rMpxEhoZz4dGNeIo1deUsAj6iILml9KAFAvX2sYF/2eKsYdUUN4X
UfpGOX1Gdb10q+xVS6NbuyR2tesStOlWsENUd44rGVlhOZGPsDVYhJg8Q2kFKTPzOrLtW7PB0sku
4M0ui/2M1KGaXFbNKgGkReEQBSnKhGjVcV9IVoY6oGosi00WK2yQzZ4EUQ2iZ13cJ3bLZs8e4jUd
18quuhtyLQdfGagCItVdm7Ujrno5zHGm1u2QL+661M7vkSQg9E778yw4yywjuipAWAFkIGY0mfq7
Zkq+BGJghh81PSAAFWO++2Dr7qMThL5OQZIRSr8Y5a+himtlIpommI9ZSuJurK+94MTNWl6Zor/M
vPQ0T/ZzbDM/KGBDrZsRCoBJm4ujbdp3NredZiWXpV5y+DX84or7oDhM0oDvxb6WjIGvNJIdll5Z
VX4kGHcPkvAkWmYZnVR8ho65Voz6Gf4uwbT6Xd5l4cIunYtK2McpJssT5d9e8Vg7i5riMWhvkUZ+
IYn00Nj9ux7kt23n7DTyKBORajuVtE2/y7yWNE0+hyDJ3zJt4Cs2h7igxgyFXGEfefGQ64fosYYp
vtDU/KgH2olVC9Hk6RdFCXy3hCrhRAjpciM/SUIQrRllZ94VD5GEY3Bs6gtFLbK9AtUJlD2MMmjD
tu/k+csQBOmqm7Kz1gaPRNlPPujmhv2dufXc+TIrukOvpUxjzKfBzl+oJkk65KID0IEqXmaBt4Pt
cWwzdWMa5taoMFADWDz01PZEC7rFeoKrauoyKEpDcGxFF17fGftYa4pzK1EtF6PQpKigIHhT4no9
r0blkbgPfV5kDApzjdafDfu6ztRuw8iKLXJR4k4cTf00TiYQ8Fi7ivhi+XzmFjAkKhNLYP1k1jI+
zDWxA2SCZPvETKxNx1uwGjIl22oIOhf42x1jEWILVRfC7qJtpxgKNHm0DIsJL/laSYJ08e8x/XFM
m5yp//uYvum77r35ey8pf+rbIU3cEBZijeUEnv8/HIp/riY0RIUY7/AdwAlDVfjXKc3JTncpTVSs
JSBvfXdKE/8G9QKnALZjTn7nH5kX/44HR8JDIYDEyMTPRdv6qZcUeqEzSfOmIx6Fdq0qWbFq4RYg
ZTbcoN67KkPcBSk9xFlbAfSRAb6QmiOz+AAONXO/iCPVuhwljkgkMDt64DjgyGHlTQZ+X63zrmwJ
Mho5ls462vGFDT1yn0+htWkhH3kS1aFY6mtRmyrzzPmcx3QOgQR7KJWE7cP64KzFSCDxH2EFCCQu
4SnCwjTIiw3xWsILAZ2U7QQxAzymrJUqoSKAD4lCk6ARLQXjzOIB/EgMhwRt+PsAl6SET1JJUEmj
yhxtCS8JPfImZwk0UXuA5bp+7UnUSYD6l75/4GvfL1uJQwngoqjwUWoJShlDcVbT+T4HkuRBUoHm
/YzBc5NIxEo8A+ksoK6gImDqCIdlrtw3civgTUtEi0s7OUloCzbK2ld6hmYRiZweZJdUIl4sWC8B
3aWj1AeyiB+TOK8XjsTCxBGAGLTwX+ZYv9LQw68Gt7qOo5CWOjFq99QarjJtlL7gsQAjxQ84Ef0a
LqSrQU2qyo3ONFr1ho2uwpfUvLXWzO+z68YryxGYP5AFOkgOSY3DvVD0INjNPGGn7g7V1iNYZTHo
5kPV82xUjHBZIxUUo26h8nkPHPISdBBJehBKU9nX3gnLpZNaxbIz53KtqV12cDP9FDSwhxyboWuV
VOeomV/cmsZK66i/oqy0/UZq8Au7RHHY3SdJee7VHCGTTcKJmyXruV7TmMrsOAo+zT6PQ/jQkU5H
Nkq7D5suWwolp620U2bzLfG+xBsRIjPN6tbJinhV5q1JxYB2PK49/BTJCWlp7dct6KrBbZaICcdl
Z8UvTPlDvxPlizMaNMEjE9lWIVEduLuJISNNWdmYtNys0BaqNlfL0QxNzDUhIfTQzefS0BHn5IdO
5oUgH0GlKjNEYpkmQj2+z5ThjJ/3qZB5I4VMHrGIIMltfcvSHGVc6DGJbluilnWLYTynrUwwsSvk
UaTlRVh/xmM5KrumJP1hGtJX5jEPSW58qQhESWRXDlzinYfUVaOHmOIIT6FQUVeJ6zasH0hW8YhY
QbX6lrA1ROoRITSdvgyJd0Uw7Q3KSfLCiWnJ6o65gUxuYdWRsIOh0CGi66kt67Mug14gG78nMvqF
bN/N3A+MM2QsTCsDYryQhaCMjDEwMq2UKn1APvOgNWz+bPJlGjV5puRAxSGjZyoZQgMn8kABcE87
sSdy8sL1chQKo0X1X10EMsimJ9FGyGibhIwbnJIbGVEGDwt6vkM6RxQ6j92sd2x9iMgRMiyn/YjN
0bjxagJnj3pausqytub47d9j8Y/ulaPqfx+Lh/firXyNi58YiXV+8M+TUUc5zxHm6kw40JLxR3+e
jKbc53M0kqjBcOF7DriEfXNSET/6YeqXbrpvU1ZORjQk6n/x4P+gd7Vs/pXvelc0KKqFZZelPegA
D4DnJwWag/PMzfVQOWoKdtyOZkI15/dgQDidWpm96A11jUh23Uwh/l3yzpprD5j8WXcET0J8ZoVz
HbL449DBm7LsW615YM/nTK+WQjthR0EOKwaTS0Jo3aLV3XkTtgP/xxR5QyQWmAlpkAGIP65EpXjr
BvdMUaXqa1hjqKn1sVqXESabgRJlIaTxhvCLcWVIM06f6s1z9WHQkVadGe7lxVA4F0nSGIsBPw8R
gmi5cPj0ev8FljiFojT/MKcDvyZncPiCJmkQynG0UjdDOZPmobxJwpUnDUXNxHkAvw4gd4q8CoLn
woAGuHLpXxe6NCXN6FX1bmxPCYnjrEm67ImecLrRtIfYbAkuUNIrUnaiJYPuM7E1pAnhgCI/iWkq
HcOAbqGNCd92mVybXdYtXGmgcqSVqoMvdFF82Kuk0YrNo7pqP9xXDX00fQaWLFEhQOdjUY5wucmC
wLmVdKXhw6MjKoMDJRXleJ7pZjZFa6bnEe9XKU1gnrSDkXbBD6XzHK/pjLAl+kYBYSyRHrJGusnm
D2PZOJrukmUzdjPggTOGwKIKbiwuuxEfQXjc2MWuaISgxscIFtiKe4hNQmoXnRccUti7bnHQ6j44
a330lEUWAduF/RI2iEYHSEgrlgpPqdaFq6CDFeiRHcixeJkFESzyZDpmLKrBnOdfo9laotbrjhPu
Ox+YmuObjUsYUpGiCBf2rhG1c6FbzIBFMt1ECd4pzqKNGfEfr2FTOlo9ULZJAmDIdRj4BTq9D+JF
IzjiD8KqlIvJcLD/GZlxsj5w9Q0bXk4gAiZ8vSV1g7ix7hIaA3INbrSjKIFpN7VV722T3kYpS/QJ
aAjRG/cbAoSf5dAWAqYGvHZsL4aR0PNMhNraMgP3CmPrWsm9N11pybXMz2Xf3wWKcWgrB7mprlRX
kxJPO12SXMJy3ioWw++cQfWtmgTBynXfO2Xcxxm6XNO5nKLSWzlJtKnHaWWzheU1H92puLSIgpqF
sre0+DKP2OHFvRUcCpe1fG5XxrqPiLCYxhDKfrZrErFNaz4kN6JFHsi/VBInWLDbfwn7gW+gHR9H
QWrHWNCjKp3IscDXvmZnOw8mods0L3njLgZE67jOvtpOzKMlXzPsWkNm9lXBjDjU2XYwOI6qZOcQ
auwNhEBpxF1GHfJM1px3bqYemWXcQS13uUm90kZV5NkXgTt/rWrt2pr7nQOq2cjzld2R2KlG495S
Uj8R4iWyjY3diFVLvh3ZolSIaXHtlvqbl/IdzjPjvfOma1MhvT2vq8NUzyTbmn7FZ4yuGC8p1QYC
al/MaoWGPH+dp+mW6oMTO012TR+d5nI85tDuMdXugrHcOnkJrY/LZ5Z6zouR9PLJ15HaF0G/JAxs
ATWFKiHdOmhZ8wp+fjuuaQeQqOvxq+1CC1WqrYK9M42Iz6rKY1Gp7qogPIU8aQTBfXjSqfJiEW5H
1V3mpXKJpGdN4A8rV30xpaNf8xWh//GDRluypCNmLHtvsvcy6K9JoueOVLcTUqN4KB4tRB0QGZea
yTVYdpgBIe2QidvOXjPNYx89Xpujd5sls76kV8DXN6ibHFs/XAXuQMKSaLLWVClfSUq54gm3RvPk
t5G7tF18sGEb7di+bEEDP6pax+TBvaGWfXSj9joU07nPYQNU77UKmTojpcYx4jW4tXUbTMs0NFcR
uO/QiM4GJLVSGNfMYL5qSrfQG6pOYHKVqm4VT2zdVlmrUXaTEN7eWdodE7+FA8x7YVvVKlDIR1b7
NV/Fq9Zz15rRXhjBxAXrVVjxhlFoLss6KEje1l+Hvnzkn0LkBaplakHA8k0C1RYNIEyHl7Zo6W6U
PQy33aw4OKUoaEWTQrzmkIiqoPYRdrEKsp2N3omHvC+eOzzaU+Xs0OeRIIhXmpp1W7jWTh1zJpaW
h7VAPA6N+lA2yXWpaGgWRoYwBClq3iosuq3TWdydDnAacYZFta+wAwgF9G3sbN0xOBJxtCvM/IJI
xkNUIuUtepDq2XQC8cb6nxylwT0njXdpaONTZcsYLDZquufeBY19bpv2WLTWNY5jdUGi9k3P/kRU
iG5kw1tY2WVmhRfsmdTFgBqtkQ+quXyc0m6vN9amqshCYLcoE6TaQRY9BaKE4q6ppgtNL/eKbkZH
JWBrFrIfumkBTfhUqBcNsq55GNjkpRw8yRvanruky9EN4GlYeE73ZOKY0uHjJCXO81h7swmwKbr6
MW2iHdTiI8/bmOY3Zf3b7ilo+V5m9Muzqj1FVlutPSO9zWmKWMSmm9TQTknqJgx52fSVg7HGd7gN
UtsfdAWc7Fz6Arsf6UAE4k66zN4lfbg4IVHaJMF4MRbTW6VgD2uTlw48r4QI8Q2gzE+Es+r7cNVE
SuEjpEL00Pt5xiEBNGAryNMSwloTFb4JhbOO1XHFFo7nT4umJRzn9ZgX+6kL901n3aIUxNbXka7b
MrYk4U+JBuWi0MlSUFFpmGxbtXKXKd1hZnPQNtVr70q3S+vRUI8HYbKCzFWOv+9K2tMf2/bvQ1z+
vvyykE/rMqNNCqg/q5a7oWmaPi6Uo5ojW0sXZXqtIP/49UWkleKvRf8fZSgabZaMBvZqQ/+kG0Vx
qdqIXpXj6H5pkH71T2OJ33iZ4+z+9ZV+VvB+f6VPpo4yKCeNxFTlqJM3YzIucMiJmXelfZ/0zzFt
+K8v99N3j28TJlOGX8gpftwN6SjZ3CArw5NQnrt+X4evRfb660v87BVRLVMscxkmZp8uEdh4872p
ik4wh5Nh00/TKovoz8NNjFpA736TLvCTV0SGLk0L+1aWXfanjkGqH/VJ7eITuLNFbNSLHmJe+pvX
9EnGLtuSHy7yyaLSBkpn2QEXSVgydc1l4kXLX79rv3sZ8s+/k5aIbmYzAB3hhNrTxsyUlrcBytFf
X4Rx6Ofb+oeX8emjqVJ4aSJv49OoELxt+V58Ak7IA+7JYufVHvW+/c0Vf/ayUB0DfGCMaWHh/vFl
pbGbx0WixSenPtdq6FdEGAVff/2qfnYNwyatGIA8E9XPBr7AMhTbFU1yKtpoldsAF0p/yO5+fZGf
vXUgcxERELPs6N6nz6ccIseJY5JjmuqpsC8jOsWEh4EX3EB8NpGBDsH511eU99SnZxCPuL+u+OnD
wvaETVKbUFcj7oC6Bi3nNw8D7cd3zkIxZWmOyQyaPbHN9/XTw4eo1CiNRi0/JZdojnYcngeIKCvr
HF1bPrz2NZEo61+/qh8v+fFk/eFVfbokuvl87CqRnISNL4qVnA7hUS+3v77Kz9879t8qJ6dly+Dt
779N9qzZTof56wRl3tcR0jLI+/UV5Lv/+dNhu8Dd5qHFQGDy4xUqyIJ4C5Tk5ND6Tq5OtfkcmyGq
qeQ3r+Vn79j3V/r0gKMjLhs2fclJs94j92wFN/X8m8fbzy/BkoSMBb5JzqdbLdZS4ZpzmJ6K4mj1
I2Gl+kLv7d8cdT/7CnGz/XmVTx992oiom0KuEqevmYL/U1k15tqCRp92JyXdZNZvPqO/vSwdlgQg
OhVtBTpA85MQQvcCp8qdMjt1YlM3YNJW9Xz969vgbzfap0swS/v+RitIzzLsqM5OwwxqX4GFmli/
edt+fgnplIF85TFn+/ESyTjmCumk2anNXpV5x+78Nxf4263Ma0CUgmbJYvCGHezHC/DodAatmPMT
dV7eY3dJdjEEg8J7/3iv/tW96vp3N83ypXv5b27x1Uv+/v//3+G9eX1/+/uyUv7UnyNZpquS68iu
Et+t3C3+NZLV/qObCI3IEQZ79n00owE2hUoYAxWrSkITpVz220hWxhxDLEEFZCAtgLX2TyRFmK+4
Bf562n34qBybitFF0aYjfvl0DxqKziykTtOjpppdc+F1caX6schNBW9E6qCztBG5+H2d1GfNSZc9
sBG8f9txt1ODZFNIA40cQXXuPVOdalHF4hbCZLNXx6yMHgOpqbc76FcThSvRxVJwn+I4SfJuW+kW
1mNk+WU6HUclE9Qr+kvAjewDSN1XSPkLe8RCi7h/RORPrtW87t3xHuPTm10515VR8g8Yc7UNRwtp
qFtuzdY7kxP0VZSNvmKzxgxJw1lQsU66CzAbKKaBZkWdACWM2tHFkDDkCfZa6VEIpVthbNytsCsd
VOKwDWz9yZTOhqEk+11It0NZ1mJFMZFsKyMHu8EyD21GgHmhjh570JjLwqrSTQi+fjFLcYAhZQJs
81AMDFI8gPaSFrj+0BTAuASrIoUGUaRWq1SKD1opQ4BeF147UppgS5FCKeUKMF+tYywlDKGGmGFC
1VBLeUMkhQ6FlDzYNZ5dMu3adfShiCBTHXISKolAyiWKj5zjCJXKJMUUCE7RVSRSYkGGsLF3q4bO
L2dlFfI7FHV8YTqKre28lMnyWh9SSHZOqn3RasNc9j3hKXWSHCLRL6AtYYdDvhrB0pI5Y2vVys8m
TKnBH6cSyFyTvuO9e6jb9LJUMWXlzrDJWPD5IL8PjaccWpgfBGfGS6vKrseouKj05klX0stkgN1S
6/mtEUbDqovcVxNrA2EVV0U+4iKJOifFqTbF+sowhAEfzYqS+QDguFio6bBKK7C5hikCptrRrs8D
ZG0BUwfSfMmxnsPXeeSxG6hlSbPNhLSUsh/LKyLGvdYrk+dGao5Sf9S7dmlE46rX2HXm0104duMS
cq/FnEwk7J0Z3UP5u+rsIV+6qoVtJcxj7AghtiP+JgC2RcSoxaGB8lNVehUtj8zr2RQkDsZiqY7q
lWNBEk8bPF5TBX5EZYdsx6PwmcLqqzgDVqrm+rM9amzzp/JmkFRibwKYHxSts6jJSvBw9izYAHn4
/pz3PAjfshJVHd8uv0smuA8UNr2FCHwSDMNVVNh9O+WrUpP87nLw1i63vqqZJOipRLksA6ujlFMY
COM4SpwyvSjarrz99/z4Y6vHkf+LrV7504UeP/Pt9AD/y4yCBx5iEipeSeb9ttBDqmojf0EQodnI
WaRB95sLl60d4hd0rHh0HdwTlGPfTg/nI1TE9TDh/lcF8w+WeiA9/3Z6IHolbleHFU6Gl/Opgm1n
atje6u2r0Cjmy5rzqmJ860a1uVRQcKDbn4NeR3MP/j1bul3glGykcvxifZx8TOBVNAt9rObMW0Ou
ERLbPSkm89Se5wfR8QX6F2MerIxncMdk+mHocQ8uZzUkqnaRQqSqdq3ZECHpCcsez9CGcVRFShmu
HYtwx34sHlD2wxvBLtlJSWnbig75DZQQ3H45QwWlXQe9epsU+qEpbMBUOfyiSb1Gf44bUCNIl605
/tR8X9TBpTaM9xPUBmhYyCmrKt/01Q4JIuPXkK9ObCexnzodhs/R4StDljvPxxnyyTg/5I530lSe
mBk6G6VHElTBFVzQvhFOn7sXDeM/XT5X4l48dqyBFpAByRtRLYbw04mw+2k92ALoSe+BUxB15xvO
PC7TjnErjI15NVlMDV1VX0E9mpawe/A5u+JNMUfUEDHWCxZ6fh5ob+NIemlvtWt4YNvYYqBO4sdl
4uqVj+rlHjQYwQb1cNn2VPEi5mGB3OJGQX5ZO72+DlLSxxRc10ETVDuazXAxmuVVopfXdT34lOf7
GLtKRNThQiCO1Jx6NfXZF3NCZNJEYtkZrEizFDS6iaOmCi/MIEc/42IAC/CpsOhM0NSW6dqdHKy/
BnmxCoLNNGsg8kCo0sLwoUfgyzjFw3Q2GfFSscPT6ACnMb3O1+ruQvQiWdRq8xCWbOfm1NpPk3bT
hePKHik2kpGwgyK5DhFqENW+TJ24RwUzxxgcp2xR4VbYNmkQ+eronXigOyu3Nt7LTGu3GlJz3Drl
laURnxKRBloY6R396j0584uyqo9KVDHV91IdB6iXkGeaYHnO7wfHXUr2Wq8aT2rVo9/hxBdDdjOm
1g7zJqINufqJXGY4U5tg3VX1aA9tCBqqh8AmGoaHwtGRxurdwxgM95rZ3potZ2/YzBsQ1MektXwl
YfNodXgUWThgtx783kmJokk18HNYAI2uvwkSzENlovWsF8Jd2Jrhtu7q696en1hcPdcWeuYxBnvr
JXENqdTUfFPt70TMWkdLQaiVdnShKOWF6ngvBSrshRrWuq+X2g3jonXcmLdVq24UozwNajzQeRo3
Jk7+pRupGF3IvQwj8xA7leKTlLEe44w1tlNswLO+5OE8bgG5bnsBNFqJXBjcCgpRCq5y3XXFU1Ig
q54k1i0bZ3fvqRPOcI3Ztzo3l7GdrvMBe2agY2QBMmgvbGVYZ+101DSTNRW02rKpr9Bc37GSiS5w
NxH2rY3vaexdI9VxFjZaMOb8I87nefo6CCTSQgCtCkLd9BlMoApvJZXLgVQTZP0N8BluHcp2cKUK
dvUqnliRlZZvlkTgheOLHXXFqrOLYjXaHrrX+qAp5nvKMhEfT2ay9Mfta2H7BXrxtcEGHJbxdppL
tEvSH4xR2JGO4QrrsCo9xO6oABLo0cOPurkLO9h9s/Qca3py0DAhT5iRJ0zJgA/ZyZBZlCW7CNNy
ENVfO+lixoN/OWFrtpXqtpI+Z2OigFSl99mTLuhG+qGJXFs50iGdYJUupGfaGXBPZ6jJLOmnHqSz
OhbDvSe91n2p8J2W/mugsE+jdGSPiOFS6dHOXaPEIaZjm8fArQ/vg/RzA1SOV8Vk7iM7fxon3lHN
Y+E0dDpMtfL+AyZqtJjUTAYkIcbnKXXY5xhstdry1dPN57lRvwqNmwEZ9G3V8IGBgSGNPOsIIQmL
el3nzklAZgApSlRgOCjgDcUVy9trXipaj+g4A29lQy6JOEIhiRBagcPhvoxcddeXRO9S3o47c7Bu
9Cp4jBwwWk0Wv+cDK6/AHFCMMyGQqbx3RgHyiiH5zFa5EWwG/62SPqokWdb87ypJhigsCB16ad5+
KoCSP/1nvWT+h4RgZh5yQfERfPBXvUQpxczQNlW0GiBDKFW+1UsWfwIgC4sp1qsfo4eM/8AFlZEn
TLipcaiy/kG9xBDxU72Ed0waVh0LqgrlnPppqOSBpayQRkVXSurqS0uQzOviudjZgiGjaAy+E13d
NZhliB92/DCdLY7YoW6TuylJk5U3o1G4KhrdXML3C2ECUpYJFJpuOb30iKYl85A8H7b0nHCJDq0S
tRg+cgBgAMpJ6qrnnap6TdhuukrJohu3AyXQWFgXF4VCZPGCPIXkNi8zcWfSR+t+BpuTQBOm/XSS
SbSuQHfOJRGZpJUgasxIPbovNBbFiynpxH2Vey4Nn1XNk28WM3Z7pa0LP8W9fjJSUT0ZeZ08KVZl
bcmaoEzSRBYcHVUL3UXmJjEZ5oSlUaLMOaTy2A58r9Q5GdXcz42kP6iKk185diGuc2pKnN4pT2QC
jsS2VwILE1PtPuu0hrPvdV45szbvbYKC3dhy/ITN7bWigSVEj5zHW4zy82uuK3zXQ3NqC39Sa6vB
euNZCc9/0+jTcucKo9sQpD0p7ZIwRvHUxY2mrVIRiJXJ8RkVK3ZGwWyvZl3MokIoasyzh5jX5a9N
VRNuHLWbWYALop+8oj17BE9RDNgaGayEeN/iMrryjLYa8G/xbp4KJRRkt7YqPvvwI2cKIy6ZU66M
n0qzVr8dvT4Dr2xLNio54XG2VT+wqYorEao1vdwIYB1d1Ls9uOG7J0mstPjBOosjEK2xpLW2ClyP
XGmcZerG7SOg96o5EoPq+TY5Ef8+uf7o7xhM/+8n16EsMDO8Tz+ZEPJz355ZZKKh2WQ8z7pBtnjf
9Xg4HaAcMx62bZs4e6nn/PbMsklOBnrAfoKlC//atwbP+g8We/KUWdPqPK506588sAhm+PTAIokJ
u6sMacaTytzu02Q/rzKTNbZrX+XGLNbklZnLUnWeHKYapdM/gIG4S+dzQIoQIIaVTqpQ34V3gYwZ
Qtxm+BXKipoEIuxMpBEZQ3qXy3giTQYVTSQW2R1iS7y/u4osIzUsKHH6Eh1oA+xfBh7pqvasyAgk
TYYhGTIWiQItgDWUgBSBVh+EzQXxLPEiMaKHHGlOMXlPM/KdrHIbf4jrFx6cZy8yXhpbexzFpPt2
Nx5gQJT+FKU4hOpk3/doIi2yUB8m1X2OoVzsC0IFVtoA9V+tkru0z57VyZl3Zo4GqwWyabvzdq71
Z9HmV15BtIDt3HjNJp3VVe2VDI2S4a6P4ic3VraDWj60jRJeODqZLa3p54W40hK4odl0NU7xlfTR
1ZNMB46jtxKnFH0v+Bl7uPKkZayM9Z1JOm3dLaIJ7Zd+I2l8SNy69ImoX8q2Ktm07SxnnWKZmQiT
OqthypToiG/MYFFabctQ0yv8YMBCESiXdl4O27JzBFC+fjWUCRI5+xLYyrw2IUf5Isu2dZm9NUhD
lp3eMrtq1E1jz5Fvif40ud5WTTgt1EAUm6hA5BajAyUkmc8ebZYVEujgNF/UeULTr7JVdedliahl
tANP8osukd8cs8q7yitzaScWPfaUXA5hBDnVWTrWzEFoIpnLVABAhTSjEYQ9+vZA4HOWwgjNHKJC
gf/nPPwrbrbYQ1+Zw37pnBeklTswTt26b1GoYf+XwuDz4NgkP2usw2uDUISk9s06uS40uv2IT06p
jDviwRd1njUrFmnuZa1ou8wtD1UyPkNnuI/a9ktVu1jQh0lGftsU+knP6K+hpUqTbiemrlwKqNZ9
zLBvZuQu/STnoDUNPxXjNkeDv24YlSxwIQ4LDhdDjxPAPSgXseKXVXU0mwhLqrqxtAztHp0g7EoU
d5lxk8zFM8jvfacNh5KjZoHC9wLG0aVKXomeAzTO1IrTyv2StOHOi0I4XfhobLe9Hdr4puqVO0Qn
O7WQgdLmOyGqu5SoBCx/z0Wb3dlpzZs6D5em0eyNvjz0AkwCyrVzlovNGMSXZm/Dshm2lVfuNLne
m8wtYryLkNSnRTMZ+wr869CqJzUys3U/N3RL3ePg0G215kxDSKJnT7DpNDsXjadfW3G1T2OxNdOJ
2iHL+10ioNCqzQFDEpJEgVyZ8AkE0Ddt2T5QzO9Jjz30kclxPV0XaoZNlS99mkVrVmcPYepsrLDc
5nbs7qA2bWwxyFiB7mAUHulKjsFIOtwhnD/nisAJq9Z+1Dc78jAe1REcpatm2dLT++shsi77BiwC
iGNMOnP+yOG5dXq6jKlbEr3IWAmZsZHZz7PrbQaFwbRHgxmLpwKIQmupX+c2xMbFUPr/2DuP5cit
bU2/SsedQwGzYXZE3x5kJtIwmUz6ImuCoIX3Hk/fH1inJJIqUa0bPdTkxKGkTCTc3mv96zcTiskQ
+A5QalKy9FIP6aISp0/0tZObrH2DYZxgDYYZt5Xspd+eIkfdDU1LbJIm90EQHEWX7D1/7BdQ1A69
h41YKLPHjhSohVIlZ4oqN2UuzyqMiZFcDuu0VDU3NLXbUGtPB9zJjVjBMiO6muZbiML9sSDoIq99
jI16FCDKt0HtjoamnakxjkOWjT3Y2D/oCgBOWPhQVEuwg4Z7UWnmOmt9Aryd9HthGIdRAtxREG3j
PNrEWdGvaku7hXd6UtbdIggY9NTKRYdee6mLa9tv8VydHqPEvprAlU8zsywQ3XiXRZodlNn8xCsT
V0zmd62wNrY+12Aof6MGP+6+GvRtDBin6/5LTG+L5XCuIvMaT9Hm62tNK8y1GhobmxoO34ygQLUO
KmH56rZO27u6D69KQMqx9a+9qt5mCqAchfNtRiA553xNVMy3pgy63SDOSVJfRSqh2JE1sqwMG1Pk
x77xr0N1qlcOgVsK9rDN5Oyq2iJsV9tWvuTSaEelrLJFAO20a/UrEv8cV2WWsnKqeX6i9ReFYR3q
hP3eBc3XE7fty/DWTMOGxd+y93oGQzxFmrcOSmuRllDgQ6fj7QRdReuwsCpOiVnDllZ3Y/uZPEc/
7UDT7jJ3UkKcnMk8W/gdQuauTR873LqElUVrdhiY8HgVkNc5TwN8ZlbN1guQXA0kuy3yTnYn6J3I
HVbG16yqUTTgIxePmPIaUaUtGEMgn0qSb13u62CNVgVdFeGuFtS2skgjCw1b6p8yTCyOWak1d5Fm
I0U3p0phZNebF3VP8k3iTIxJ+kRgq8iMUWMuNyWrSVNOEVGcYPd8rjvxWgyRa+to/0rv0i+rfVvq
CEAM0tESkkcyrbzzelRKsCjdSqtxVI1JrhdIlI2meeyiluBl5154xqHrYfQjQMb/fN14JiSy+ho6
77hy7OCBlfWWwMQtEpSjag4vXmTssSRjehJA+AzBK2qFeMnJ3NtheiDFwaC3T/FKhElaQINt2aKr
EVq4VXnHCIg2ifPLpo5D3LumXeFbp+YQbpH/Lfy42KUS69lcjVchWXBLKzIuZJ9eNRgIdfmIk3WW
XWfYBwOqxnvgMpo05UB655JSaKMP5a7xJMGtwc63y71fNN8sYeyTTDupDHZaw8Eqv3gC0nOj2L8Y
PCqFEVby5NEhgeOZZfOSBvJUybJlzUM3EIXQyuQJw0689WW2y9XwstIJb9XDpRQg80aKedugXtWx
AkU0Q6pK7gNOe76LV/Xa67BcmM1uWgSuTaRt01a/g2iyTCJtWJuELxkMNikt6DWypGR1j+8So2Vu
aRIKw2BWxnBRWj/BkTu6ldLbGM50rna0JXGjXY89U9Oo+Jaj4wXzw4db6cJnr8q7JfHhLVNA4wyd
3ZnnGyQmNZYLqcEVnr2JZLiToSrXvk+ARjy9FKN51hQaZ9yjpLB0HhY/700wcbD5gDgo1xst55hr
+UkmQEITh1DrRr1IhHKaNDSRim+s6xo5imcGeD7UUFOD0bo3ezQfkpUGBu9wOgwOxHtUdwPBvoVi
3et65K2LsLxTIVMvVKtdx3WXQLflrB1P28p56SmRB3S5DLZ+hQ6QmfGhYP4Y+8p0VPRqX2h+udKh
7q/KKgXjGmpKxBKVPH+N5IxqXXnlh0OxSSZCwW14+2PTEnow79qmuBs0XrSI6eOqGmDRl6M40+Lw
DOeCpYhEsLODqT4lYWo2yjG+6fj/nfSVdyHr5B61jdjOrzuJDwwUM3ZzGD7GvRPg6VCICyYg4ak0
MiSvxc4v1Gsda78pN1Xo/i0QbL5S0/i09NVNawuyecz0lck86YGGDgznXMdNfhKCTcYMMrqEbJ5a
b+5GrbyUA2lNWWGfRZpPzlW0TmwxopmNbstE3ovBuIT9mu9NI8owCLSw/2nE/ZTKnSRCYBmpIehx
xxcrpbbOtRBXjUx02yjB2aBG6YVRqEhV42rQIp02oqqYM5HZIXSGCIaluLoWelO0fNfxnf9gUnxB
aiYJTFrSwhGaPR6BnfqpgdJDVR10PQuPUQHxJjvU07CQ4urrg3wkcYB2vR3E0rDJhUFNK0kX945i
GnvEvCh1HR7VcadkYCQBxlvXTX/99WHoRN9xRf5zGBuSiIA0O5vufjyMB3BEF6BSuOuvfX6jGH9D
AP/F9zOzxPcI+yMu1+drVRM8nedWmhyzngdt63gP//j3Yyatc4W4ULOu8ePv9+15tGSW6dGh7zDP
zf9YK/2lQdQnfvSP2/Du+ny616R3aAweuT74MirpMsZfxF4hYB5ekmj19an84lCkF+Gg7ggTHqT8
dCsSh0kHgd/xUY22sPHRDxeMgMSSbRhv1a+PNf/sPyhCb7f9w20BbXj/dKlamHa2lSTHggDhmopu
yavFmjp2668P9KuTen//P51UZkcSEvuPAzHPIyZpCNbsI/NWXPzNszb/6M8nJWcVwJy4YOj6TGl8
98oYZqbnbLzZsTbWXvLQDa7pPX19Or96nN8d4vPjNtWkrvrwUI6Z8xB590L5HzzOs1chmbEgzTDM
Pp5CVCZmIxQ9O0asgIyekvF/sHgx21etmWumGxjbfzxCpmTU95aWHyf7obfP2nlW3fzN2vWrm85D
DNFHzG7jM8b1/kbIICWh2pnSI/omlJbzrNi86CpmaCvmwF/fkV8cyyF4FCq5TVYj+NPHYwWeA8gW
mdkxmHtql4SJYHTtkmngRr98O9S/lMiZQfjXkOfZQ8FT/IKcoRl3z//9X+SvGkw6+MzvcKf+2xyJ
xQYC115A6/+D0oJJKFR/ZjTQemfFB+/kT7jT+Y3JDS6hoKTAkG80yp+Ip/ObZjLvIXph5lmqhL3+
gxGNoc6LzB8LA4TIGVNlFYJ3CUuGX//xGanKOhUmORLHoqjRelFiLCoJsaowxxstKjfeTEHrtXLl
Fe2j2nq4SQ1YgQ5ijxVGwoxduZFduVLN8WBOKLBM9KjEuTeMx8OjhcX26DnnauJrS9pz3S3ROsaD
PPSGeZqn+cbx5baNdBoKDNEcCxy18kmbhVV2ZZl5u8Zb6UWxsj1Kf6QknfAPtkViB74P3sIpTXfU
GZNinrVJjXCnmlhFFLpzS5zqOYX/0YTfuWirrEOl1yW4/44bb4iJZTHlRRL5Vz7lYWYypB9NZON+
kqtQ3MRLn/vRYZra4iFrOM5odptJqfylgf09FMEtTYu69gcNyCchKruhBsemxC9OWnKbXb3o8bDR
cYmIg3IZJiYR3MmjT9RNM/LTi67etGWFDC0nuGiYGBnbKtllfbzF1M4d/EbiHRKsKpFoOxLZ9oaa
hCcaRvceWC/ZQGqx9GIQxRjDF9lbV6UWWvhFVs0S5JizkJU4Oom1y3oG0fkkcRmrzWQHPHdmYZZp
ZFmzrBvve+0715GCZDJUjK0YvReqlIzY0wHNsZWuaiBd9Ay4vilCbPPAqyHcpeo1WChC0MHc0cMN
K+EXlxA4twjZ7WVgokv2mWgt87D2IHjjtkPwU7QoIrkOaQfcKQhH4lRhAJh+/FRpNGhdqUH4U6bZ
J0dzkG7G+GhirEzkQbBSYLOuu34OJk7mjOIY3+adNecW+3jpLHvFiXcFocaDTbpxRy7jgto02jS5
mZTbqvZz78rBC/9Es4JnX8mJOvVieTIVAe5mSbWrSv8auBYuR6NvhVI0S9Z/tw5a0+0cCv4uy/eZ
Ux3qOn3Nh6xaiKmH6dvdFTXwENSZ21YvSUCASbbsvOIOYzTVJav3tM2G0zRVBUY3EW7pDnEFOdGz
vXmAOsIrodw2vaYuBXl5TC351b442hBRWwLbzRASEZYC+QIq6gZ+12liYfGgyub7VHjHTo1v5AAK
nuJ45+slfBpcshn2laFbRXm9DoOMOKn4EPjKckj8wFWlPGSJ3DZs0MveVp5DL7zBYZ18esXH9kVX
n42wuO1iZ6VgHreoMN146CrTVTTlnjRYVOONczAGaAc4nsQXViy+o3zZ15r9bE/1ntb7bNLgcIQT
kee5eRzyXD9kVUqmM/hWYVt7Y6iW5F2pMOOCy85X20UcjgS/XseKK0ZnX4Sk6XYExXhBWC0zgnnC
DlfCJk4u8LxQoNlU94XSXEYEGcKNmc4DE08Fy2hWRk/KQhi5imJtp9kAg9EuSvgK8WZFhmMSyAOB
uCjh42NI7GoruOs60tbOJgs4Tqfv0uqadYP/j+VsgdLIY1Ki2aanPG37aSeL8BHXA7K7NA2PvF7C
+I6umsR8lBUS5naoQUxL+9ZXCBfQUo+XOA8YCAcNBGnWQiKek2FTZ/qY/pAL/rvj6hTkX+y4L93D
86/2XD71+56LCEFFUKDiS2Yg1aMu+kkjZcSIgxnOZ6wFDgwHtsOfey557bplOcgD4JLOH/9jykg4
jGq+aQYcPGX+2ZDRMD42GG9bLu2kKWljmHTyKz5uuYSeFYbpheMxzM6N0Z4drkC7h0beDBOJTepI
iJvUs1NnSi6dUTyORaIsbeiA+B8nbF5hjbdhI0/qWB7hX+Tgm9ajDOJD0srbaSpvjB63rNZfl4qF
/RGiyKRIC7yrLH0JeWej6ukpWm1U4l4nMSkBXVJLzAJovxjCxbcWwoC1QWdKpkHJ+M0jHFA37+KE
x3ycHhWP3FaW0W1ftjdx2JxXUpyF4DwbxEtXaTyQ+zn4Z17XnOT9TBBQ6r3mAFMOGD2nQ845T6uI
ZFCID7vWCdYgCh5WEtk6C5RvbQEkx56O1O+Mtm89CdI9Meb0XDjfKIqxZ4Ogty4dfGkMvEMhgTxD
iTzWsWYt/LAcryYlhaPuYQtd1MupHNj/IiNk4xbYNGcKrBLFvE8nIhKt3rNhq6vJiZ2HclX2Wg2P
1yMdM49WTj/PFueMx5HKpJfTwtBgvuEfASZo3sJKwzHbh/cHMNayaS9aM4f8OlhMJm+0vgdawa+m
JAITu6vATWCLVEw//YjtBn81sfJypn4lBnLg625cjxs1GbZT31lui7nGgnTwzaCKbmnPVBYPBwZh
F91szfJSROYhUWu5QGz7fRJUa0iHAfi89qbJsu8h3hSeiUtNkkPmr3dj2xKMS3CMFWVbnNkVN4gL
E45qd5Az6SJmmIUe49sorJO0YLqYmuNDqZnljUjxlEgFO3y36It+1+rDZogiDwatB6M39LYoVcnS
LI392MbaQipYMowKJnVT6twqHV4lVqmse6njcNTBRYbB6Hj9bpJmvFDzgrBvP8PNVsGdrCw2YRjY
C9VGBqN7a6NF36+g36uq9nYCiU9M/TU3uGYs8Heqw+jbi2+wirj30+p8CGCuDY0Dw3W6q6ss5euD
LQM0e0nyjpsNzUna2jzN0XTXYYYCqv7QjKFL5NIexudKC4t7K+yblWcwGotVwO6kSq7ZLm4CGttF
0YqanxbvcStyiwn+dWPfl8hMFhBuDhXinCkQG9UgPAQzmo06YqLTtt9Nx7/E935ta9kRgf5xKFTJ
OzbpUI/hRZdWdjrF3Zlu+Os4e47htbYgem7de5s87OeIHgGH1RzPQxzCHZX8TUkcK8eu7yZiHpcI
dh5SjywLU42bpVoTIpP4RK534zW0lnwx5ImNHMW+xi55j9nE/eQEh0QOF4ZOOrsak1FSymcvVbfw
mHiM7JJgwpQH0Jv9SQbXi/QXMxIFL5R2zWN8ZzckoGpeftaE1kUtjWc5jZUbKZB5PEY+aa2JJaxR
UnO9zFwkVsD4u2GeYsZDcj7G8jLGBHeGoknX7AjsS0cN42JLPg5e8xAn5bmnVVC9bdNb1b0K6Xos
JWWNuS+cWpxPhrPBvT5AwtOV0VWRaU/eSKQIxLGbKc9Pjcl/1JgSQBcat6knFbeJ9bMAYtcCN7oa
SxdGONjfvuSFPbktBrFY8Raz7U/Jxk540cKSNqIRM6mWnqhOJ83eN7p2ErbaLgiay4pJEyYpENgm
cTa0yj5POcswLldFE6hMfxRB2qu/ioK0ZQIrfqBg/275Mxz111v+efLw9CuT1PlTH7Z8eLH/YQ7N
be67LR/YkP3eAsp9a5jfbfk4VqArVJHBA8R+MknVaLQxkcOKwWYL+kdttvwIxbzt+RgIOnR9CNZm
6f3HPb8bewppYffHBlf9pWiIAu/GS+J2SMCR/jHVyuiJNLKMmCPjGioxm4eh0LzY/asSqGu4TwIi
sMJwjbwXbIuZgdoMOwlTfqx8uq4hsTENb7NLIROfjTj3Nn3nHchyI+6isB9bI7yyuulbQIPDXBH6
sl6I5UAW8Da2ixNjbv5Te+ZFy2w9JfoVx1r1jdYuKkjDUK9H3BEd2B8w/w5NLG+AnKl8Y/85qp2D
YJSiiuEY+PU2t1kcWYAu9EBV16TqoTwg4XfQmbODTGLVqZPkgJXLvE4sKFeWRtlGO2q5kD1G22o4
261lg10ptYXjtgjNXCP2NhZaiEVupHLrFeK6kpjWjXLVGobbQrxfYAUdEt417jCDFcsmCxwYD9Ot
KZ+xAV9V+jA3cSd219wRWx0uiwgPNTEH6LQj9Y3VkaVkDuNLp2ITqtlr21BwY1ODW1+Da05yCCQG
JntMoygy5qbNxmHOPpvbTj+vbmEyPsKq2iMYY2w5rSyczspa25FjfKGPMGB807p0uEJeSDaakhMF
lCRnlZCXVqg+xsNEJLkqWSbx/YRJ1N+kuriPwO31wiaOo8vEumg1DC4Ge48N9DUpdhnERfU27CJc
KjPiuAzvphiqM4gvmJbiDVonCcF/wfehU64LA2ZEMFw20lpjVHvXKtETMg2qLLKKllWBufY0z+71
uny1x/FKbYknKoU8cJtO+8hmJodGSLzCOXA9fQ5Ba6d1Yef1ShezHSeeW5FDi+rbmymyzUWV5d+N
zIL8Wo9LEo4eRNvzfGlwblIfcWzX5KcQYZ89nkhZGSmmuJhxJdZJa43b3GqeO0VgphAY1yZNsR+G
CsKq8lxT+wYxBrlwtHTBolLGaKUE2M6NhjPLiuLbqOEiTRR5C5NteyFS/bKxClcWKf5caSVdjJQw
/cSP6Exv89uhxox0Z/DO3acgRfmsig18RtrEsaGVGIOLsa/kziNNGU1qPWwQVqJxbHuBQliLkPgE
LP9K8QpW0kjYAGXD1hR40eg2aVxON91bTWiSA0+15nuxuMo8gwqLOettKKLcFdSUqjSJDaHKHDJB
uTnXnU4U4f4hN8iHKEk1x1lhF5ScMKm03RRHKogExn3emREWO7xuScAjTb4d4Sg02iHY+VIJ05Xv
yOHKKaiAc3g1QzA9ozPCL9Z3VkQ7r1Vq6TZOKaoHyH+Z5QRwY32mkPbZIMQCWiC2T863kMo8cPC9
bajVITDuQmr3ClZBQi2fhO26mOu3iSo/LyDOKdT9IsiIXqYTiIV1xdXVSD4XZ3VEnUbPIOkdKkNk
sH37x9oSt3lu3KWqjXaXfiNKSBwsy2maWU63ZjDr0SY6d8gcZ/3csGRz6xIHyalKL8M/1dHtoPIv
GxOIgIZHL7FjMOLXkU6oiOzbogwPSSUeqxo7KjW1jxa9k9XmKqHlgbEwKPuZJQOWqJ72qA7RpUPv
xc2jCYtQgTaxfZN2Xc8bYjQksTiByyh7Zc17PS3eRPhgucobXqaRV8+mMKgDfVfPlUJIyYAmjbJZ
O1EpJdAdn2L+iSHWXGUkxI6RFkMGoxFiNdvaqIpFqk2uR4GiBCTd5bKM1k0rQ3R30ODneqabKxud
EmfyvQdlTE8DSh9lroG0YXwi5zO6GhFwL6se5lotwPNGFCy2Xz71TOogUIEeUrTchI61D4riKST2
eIllYHoNvLVVMv0Gd8R06RXcjcT2yI2M1ZXjOSwb/c5OC2/lWS1Gy+wORYMkpQfxSROeNThHPQWf
6pN/UanaSJ2U+JkrLCgTtdfU8rueYvV/+Hfs8DZCmAuEv66ILsPuBSLL88ufZw/zB38WRZr4bR4y
4bqgolqdadM/ayKEthZAB9iD5HBIwv6AQTDO5fHDF56RALm2BNf+TrY2fsNcA1sHBhok0QKg/JOa
6M1o6P3kASq3pc9xzdKyiKP67HcV6BlskdZAhZqXZWGfKgl2fxg8C7VO1RW0nPgoW92Ioeh51CGQ
Laa1hqLR5m3FGQAXy+TY5qVCIiem1aaZYfMcK+Oq1+tsT/GfXrHx9sd2EMVpFjb5U+M3/Yme9vGV
0HqSLPIIhnAz2C+eHoJwC8dba1E1Z5hjqfud6oVeTel4faq+WFBXbWJd61dTkpmPZHdor4oRTpd6
bYUt/oQYQ2SjliCAl/ggWOVq0COd/Ryzc7ra+DxNW+9aRzpx2b4JUdTIjFGlJG8SFQBpevzqh3ZF
szMfJYtoVTh1kOjeVC7jm+QFY8juoqo0h9YQwwcwhDeBjGUVkZuaYRndKNEsoSm7GDnNoFtlBf9o
ltmYs+IGaZqxE7MKZ6LsXdkIHyoMBZ2mIPUtM4OV2lXS3HeFUT145DJhCkGnxsaq1hQtZWeNEI8z
wyDUqo52I9RJuconcTlpdWdv9c6kV7WjpyZKgpOCkPvpYELi3jmlE3aXZLFr67Eys8lYBjyY/SGV
yZgpm39XhLcVYRZK/PWKcBW+YP765+Vg/tTP5QDlhco0Eesdx9TNN3nFz/UAWJSIaX3Oc2e9mLud
dz0SMjEknui45igmyRf+HEWSMcEoHrmYOY8Q5wHmPxhFotb/PIpEw2EzGmfJou0iB/FjjzQZQRro
eageDYetyksnCHra99x/5j0kXwUrYeAS6KHzWiD1037GUioKcQtwpS0LNAr+JQm53wHglqjqgd3j
4C7DTZPV5dLInEMx4zW1fa/NUGACkDMB6DSmDUtuxnh0v6WEzq6ZRWK+J9VkWcLsXMEPu+dtWOEm
vjdHXjSgownivgaUpAulXOIDdhKYmStntCmewm3dlsSWAkRpvr3tZ2RKYAw1AFVFbL0T0BURD3es
jij6AbWUPvtWAnLFGqbaAtgLh5D1BAwWythecGabQgKf9oTgOSE1nuHN7rjAaA1wGisenU6G5zdA
W1UDso1Ab2WvDwAao73DGBfc2BP7SE1ybAyVLWWVWJD14CEhGze5GHb6G7xnXfZFe8ksqbpJAACT
GQm0SufEBxokr4MgD7DCQh0O8Dtxl/ZtxTUBFJtOiZYDEKMAarQkxiIl4OOoPddAkT6Q5OiY2G/M
KOXk9N/jGbdMSuMA2e3FmBFNCbT5JtfrZ7RTEWRKz/gnHbOFTf+4jYBGHad3C6DStuaa+TN62v9A
UtEhAKs2Q6MFrodtP0mDoTnssTIfF5Mo1GaXO4h3GltCISStHIF8rla2y4qPoK2ujUY+EEHb76LG
1JuVFeMfuxiMfkS1wtAJ8TppU35Qlstibofaku47N56yoCoXiif0FSF/ARxtEhWNXl31U/1kea1Y
yrh8nTM2F6MXrcYMOxt7rol8M760J7KXbMM+UwIShhs0MmiRKNGV4C4ZxH3mDCDzQ4eEIQ6WIKrh
SpTmc1TUr/o4vExNNS46O7n14RYsYLIc1A4ZcFzr+4rsQpdGxHCZ6NNwE6hhyHgrgureic1mbRCV
De3HuR8bHSsGYUUAfv1z7YAdQ8YlbyglQT4La4fwD0l8vI9o/T7pVplP4uMQPYsBOlTK85LBp46n
PfruTZQXF/jQBGDKw00x5z5YTDqTgBxkIWFDqtY3r8Dh3uSfOFr/zZ/KC7KQlqPAl7uv7zOswGl+
FDxtbXsKV3zVMAOt2BsECvYEyUJRAmLXq4FWvQc7xzn4sh1zfxcHxGpa2dlUFRjJFq+UMxVgb1fh
2TDG1Q9207/Y22z498W+8vCEpzgEl19EMcyf/H1vYQOhmENpjEHmj4Ly3d7iWEBzP/8Nn/o5csO5
xUCh7MzlH6UlXJbf9xbnN1VzBEFTpmNI5x/Wmr/YW2woUPOvw0GGqeBnazgj6jLav6E/DonD3J0R
3Bq2b+QW0TxSGRpGDXFtYEUvuvs+SvdFPciNpTo2TWIYLr3RJ2Y9czQyGSwX0gRoxpjZS0sNlT1y
1wfT06czQrxeeqskaAda+qJIvCujVaxD1uGAMXZGuS6IMDqD1OpGfnDbYPDUqxnu3NI5SRv9BFuX
13gYb/sAoErExzJBdKDpWxmCy8koDRZhahQw8jWkOqORrBgPkS44x4ADjL5EtrjpLeV73CkvfTf7
a3uYmgw90xji+Z7LFNFfrCpnDXXlChssvANimCqdtB7HAN0iNhbaMgEhA0dswhXv2G2Q5he65WN4
j1jPHkW7LNumc/2KZMSDH+6swrgsawtpkPcyzVqn7NzSUMVggHWWgTVNQ/QtLTGKIokoyMzrziRm
Ro1eR38eKST6hUMOBPo4VISdX8NJaCCqtTg1t0mQrIcGF5xSGuWqssarFEOEVWP3YgvJIloaSYBu
LWtBrnLC39NQI8nVw0NHaax6hZZ7GweMbFIylDDvii5RmOnU5IzEohFsSQvNbmXm5AFU5SxhYFK5
jCF4n0D0uczrAfo21NYN8/0dmFy4qowmRFUSmdvWk2N8m/mK7R/0ekq/4UCisKXhds/l66blYFg9
9jdh72am81rDeB+C7hg0RA2Dh9ECN2/tcDWnxWDwYStYecDOCIXmrQns0VCHh8OyJt6dxnzM1oXo
80M66eENVJbbqgmHLRLW7zGJr4gTSSjvRaQTdNVWa310rmXW7wzitYrKayHLw81Bv32jtJ62ahld
uIM3ZZuux28tFXMMVA2jss6YfmKOtTDq7jAgurzmCYBKRTQxrjjJcJ6N4LFO2xfXftk91nAo93as
d0wUg5dCCzAfF6OKTks7U/CYg/wF8z9VTA2ko2m3VetVWx3B11VplQm5DnZ2HetoywotDKDtFNe5
06yaxgLma2lK/NDcDhY4YetRW0TI88gmGREkSfIIjWpYprjguGaInAu6Jnya0LNOmlF9GLxiWQb9
LVNzoo4zdSSXqYhWvpBoIgeh7NB7U4JEPRveVHqr0GmyDc5A8VNsmPU2QZ20mCh54j4Yth28Hbdq
5CRWFcSbhWXK6qI3NO80gNZ/cLrxrKYDYkYHZ5cBMm9m2lVrIgSIe9Kz+qA4E3ksWoxuzxwm998+
5wfyARbx1X6U/a919ZA9hfXTr7YkPvz7lqRD9YD5CnvftjR7plf+viUZv0G5hPFmzfl3wKd/bEmk
2+oSy0n5x6d+tjtgJjQlpkMP9c/NxP7U7HB4vIqxKp2/lALvY7NjJqrqRF41HafmW+l4i/m5f3dh
zn8gKe+lGPM3/IGvzAbFgu9AuktDh/fGW7v1jvLNI2sVQ2Fox3pQwGsJOSM0x3zuuu3Xx/l4Jn8+
zicGKdkKBXRGUzuaFPNaddrbz18fAH7N12fyiTDja2VGnjdnog/2ohM3tnyFvkZtDEDUuVjDLevu
vmi3bXjeYFKmhS8Yd/ikeuQXTQbJk2F9ubdMH/Yfkxhx0UZXfRqQJJD+zaWYOUJfXnMerPfsbiNU
PID6+VoYLpYe2F5+a7twmWvi2NPAkivKgO/Vxnen5P86Vrj8+lLNFdOffgBzRnOOd8QqT//UQ2eO
rzWdao/HsYvInNJklZzGMI2b5ViIslhKmluUxw7mawPBgG1/qYFDM0HK4U+qyrSsoKwwGwR8Wje+
etKzflebJL3TU+Ok91RqJF2JtJvBSKONEUuctzziqLIoQtBb7YqWhbYr11ozrqBZbILp2Fmhm5Jj
NyN1uG1t0Gedp6T2TRE2dHc1wze/voaLejAIlaiINOoQQug9YnGTlLqJyNGoWMWkOBRlyVyN0gdQ
Kxy1ZYvc11ZTlyTBsbyrI8oPzODLPttrjbjAqzMiEr1D93CTmtibGZPh5vK6EdYK21E8z6Exm6Ev
UKyUzkp1UuHmcXLfKCRQpFO1kKZXz4EpP/LI/1I084Zi/PFazpPgDy+++PS69KGso2aop6O6Mbbe
bjptvhkbhLXHeqGdNttyWbmYey3HtbE8qU5w6FwN98ouXjcbdWMdwnX0A0L/yx/0kY3259f3k0hA
JElrp/Mjm8c7UjOzflXB9F0TTPL1o/mrJ/P9cvRpwXPCdEqCgOMoWIFeD8/lHJW0pIPG8+brI2nz
Q/7HJf5xSu9fgk/Ddsl/XBky1I+BsSSNcYCmCa2cQCysa5b+EfD06wP+agXEgRKuHQ7G4Nmfbmlq
pYNtJ4Z+7GGwZtNjp5x/fYBfLYDvD/Dp2tEk4Pjj6/qx7lYt1KleWRIT/Ddn8XcH+bTKykFa0wh7
4Si7/VSeNNa1bn3/+jx+tSW9P49Py+PIXl0RTaYfcQCFsgDX0bqU0Zmk5X870P/vbv0QPlV5nb82
/3v+5qe8GKvQD5r/8/HP+sff/ks+W2J/+IMEJ5QfF+1LNV6+1G3CR3+8ePN/+f/6L/+jH7kmlem/
/+vhmRyJVVg3VfjU6H8GdOe4wq/Lo9M2rP/X8TGsi18VSHz8Z4GEpSqIK7xWqTOVgCLzrkDSfjOY
GhGFKFWyrVUWhZ89O447IHKY7vC0qzzsfOpngSR+w4qHj6FnmYOH4d3+vBznP15PruRfrksfXyrW
SfIcHf5H6Hwf86ZPL3FFHnKNMsY/otUl35AUtr9LrIGS8nGhQMHoGIAPpDcyfnXe6sD323Wq5aos
knE4w0xjlwWtXCNejaq1nQ6HwRisniH8WG8mNlMX50DI4VrjmFc6o3EScGFTHAi3lTV+XV55aCvF
AQxuDas8WJZCJJGoMdrBUEeDbAabzc2LXi3oS8lVQ4yrbgasyzYVBgNuT4TPpgpE6dZ5z8ZqwTjP
Ous8YhZECAzzsDan6w7h5yMqrvJI2WQpgsirrJqC1xQQdG38kPM6NfxOBiuzzFcm/OVqBVNlN3jT
AsN+QBdclEN50Qz8ipB4tknRzIUyBHdGoe2DIUANkaCCj/HlMLpygxbytG8tbWH/X/bOa8dyJFuy
vzI/wAaVU7werU9o9UJERkZQS6dw8uvvYlZ1V1bemrpoYAaYAfq1skKf49xu22xZq126qH8SqfVQ
+/K+AdIQFv2TI/KCUaZGi47tU93Y69CuT8Aw9kBLU9gpJF9C5RwHtmOeTqFlH5bYQYG56YxEUzke
GqG/VkkCKCRzYeyU9bWBK7uDSn3qlP4tctKRZTWWGjsA2e1lxie9vhRu+f56LFExCeDgAbTBkrZK
iW1hBdOxHqtjH2hblaf0l8fhNs9EswKeTkClIoYUn/NhHtIs4DphVG2nqdkHTXwXwYbdJgUtw1TO
7ZuJeTLEyFNI1VBGld+XTXuMLBxM2qg7H2OfSoA44bBEHduoipeqMuK1jf6w0EiQ4NXYq6o+DzY4
JwPpcpG28NM9D1JrmIh7YY8lcFAbikqBk5AVv0n7tI2Vc2zPtdNryDsgW1CFtmWmf9pO990AgAGR
0cmPlk+fwiJKRXxbFV6+At0bC2AQ+LZdQzv4aWJs0Uo+Ui3aTw7Cj+E+tpE2i7POwsO2GaTesrOM
E2bd277AGYmOAD1zPcfLc4dAEtiWrQeecgUDnf74wt1JvX82ZmdpJcLZhfPGAvJc6iA14kYduNXc
THzS3ijOOX7SyTbABWvvpiTFpak9Ss3JCrSd7z6p4K30pgPsCG8jaAVtXPFYY3GPevWtx+LatV57
tAnWC3O8CYPEWFpm6izwnb/icH212GGxlzVOvo0YPdjXOtpRXRkto6mzMGLWG6DID56Sj3baE6pi
CBBReGP3M+47RnTKe9hCjDysVGnj7I2nSosePC9/1Cr644ph44bVl+mqQ+1rB6UoL5WJc6gTf5s5
WbfwXPDopdHt7c5u7+whgQ1LSWKivyH5wSawuGzBxYo2plUBabdVulNabr6Wg+e+SK8k5aLGMXjM
2yC9UwErKKUyY42Rjt7HuI1WtTYzWWiRBfkOMKg2NbYLvC1OfSXiS2dPYJ6ypg/ksquc+R1mCJfV
i48859WB921iG7aKIPRq0nTWvXQuAU166yCr+kVr+5IXszUj7rvsOHrwUUJT3LU6ZUD4YepV2Ffe
wjCSI7SO+7xKgfEMJba+SmJU9u0XxwHQ5PSrusMI4ipZHDzwQOegivhlT9CiU6f8ZlMhg/97jHjL
+fyNxIMeVim/x5G+gDE8JZhdQJwGtxASvnXKXybsSryE9EOg6fdzF4FlVW8QmQEwJrs+ab/cZrhm
gptDGNCUhlP71Uy6DXvot3LkduFJ9mcGu7dgwBDUShrbE3g5MhCrcYxxFrnrpDa/506rthUwi6To
X3srgHbTwq+K2Ry2+Owa/szpQIjRfTYK+SS64lkYJUkeldyrbDwV/rBrazRYbUiew2jcxwNvUaXO
fZBvw5wrpp45d207XVHzXlUkLiWORM/un4epIYABDcIFLtfbPoeFTpjd9jFfpW9TPTdYJc6W64mA
ZwnYpvViUMWK5Qqs1WUinHtj4q8mM4D4YeE+kB44tBZQWorwXnkSHOuAEV4jVwJ3qN2VSfgs6Dhc
WHqzE7m15rhZaZ2CEMVPn0fuCTQZzOfwYGCe8qseP0G5rLz0iiq/S3O8PZKa4dxM3zX6rcUQ7zqY
WQv6Zt/1Nj3wu17Fk8JEbvoHuxtvZaXzbdrULOjarhHOW6BXYMIQU9v+PoB0xmZ62iCtl4s8jm6w
jH5RKI9zCtiXbifcLaf47ItsWwf1Q1600yotyh3lxPWOPsyZfDSToE1oVfGbE5SwgS1sgmbZbopc
NxalbQ83uokx1QM7tk695qUA8bvRdO+q+2TDhqKu59ga+a5I5Rv2cx9xRlyEQi/tZagcXi8IputR
R+6z7Dj7Tn2yuzKtPIKdO5rngTKLr5/ms9/Hnp9Vml+m7hmiYNP2hQOGtYmHG/nPioGRCiPPi0C7
JAnYo6fU/2aL3ywR/9tJ6n/6EvOk9ZMQNPIqdlKk1Is+87bda1ddVfI/3FB+mex//zGcOdVEXllY
v/wYJgZhwnFxeNVp0fVcVC0wMQ90H//9bwvN7ueb3Y8vQ5QaswHx/Jlr++cfJSwTMItpH147CGJ1
AtYTVJJWP3b2zQAqz5HQosRv6IT/03eJ7Wc51+TIP98d/l++SszBs7+5StDWkP+Vo4SP+ucNggQ7
jExWe7xvf0+w/ySx8ipAXp2lx9/MZ/+8QRBup9+Byd41sKfx5/zjBsHWDysJn2vOxWNLM/+tG4T3
y3w/S6B0r9sk/vCv0Aj1y6sSQltWpYAbr7z7eBYLjwOYVWT30STU29gpm+Y5soloVxCg9Z+CFgJQ
MAc7hXC/tXl2786RT1M3V10LdCQgDdpp+l6SDk3nmGgzB0bjmoNzTpFSh/pGRwl9MnPCNK/rfd2T
Gp/iq9Vqe4hUZ0kk1Zizqd2cUu0hnrOA8XYFAdZp0FYugdZ2cMplScQ1nbOuWTzcod69+nMKVqTF
7ZhqHHQEZLU5KRvMmVkWlDwQnWOWvGSkaoeQeG0ikjs5B24J+JNLFUcKTLM1UMXtOIdz9cq+RnNc
l+qT40R+ty+6oyeD75U/HGPu/eYc9LXnyG9YBIyvhIBDU3tF21zjFzDem7Gc94d0w8vmKSZBHFLp
i3/fqpegUx4VKeNujhuXbLbS1DuPcxDZ4GcISCbHU/Uu56hyH6TxesBysozmIHNBojmYo80Nc9hI
1ll2wxtPa24WpKCVV2/bH7FoDsxFj5vMwxyO2eSamkSoBVnqbg5Vj5P/lDj+Bj/qmT3oVp/j15Ic
Ns8Ie9mTzPZIaA9MxuuBzHYc4Zbu5xh3jYG8noPdadq+CJLe7HIpyZyz32TAgdqGuG1D1AosIQU5
8UFSyGOQHJcBTgdJltwkU67P4XLPxWM8OF21htr8vQjd+zAYt10K/SkvwdWXprHoLO0Tb+LsYdg4
SfvMf9sVJTA/u/e8dWkyDURJSxdkkp18lT84p9JI8UcCZXO4ka8iK4hWbie/MCTtErcBAEmKE7k2
hAaVno2uXldlRxAuxYrca/Le6JstrsNXezS2kBfZUHviKBOwnW1ZQtgucpTxaNzUEjRJS/fThEVm
jFy8iDy6cDY1OKiArSZ50K5JNWzNsDymwt5kPjjOlO2YnQ6HJGqTZdSMl8bnd28Hxxb2IZeh2B0/
OrISz1HRzgRqn5ugUxbunVnpHrKu1+TarY5F606OIYYRQ8UbWjM23F4ccArBF70Cn4GgOzKiBavQ
6eN1C/UkneZbm3b1oirLWzeEGheltwbtnMzyYsmidFUpUNiW27Nw1puNJ9qLYWU2PxzXQBeYn6WS
XdkqmrHB27PNcyeKziVWJ1zNbak2ljO+K4c7kFJvOKHXdMI+8odmyEi0/Rhrp6KOtlGq7QvGGphI
yzCBq0mZRpKPcOooc1WkE0Z7ImXTPht1w1iOLGDmatPnQNGsODm5MWFSsmpzwGM7gGzIq5w/yFM7
c4NVNyMFlz3IUPYLLPELdzXmchXF/kue0Bwsm4hrgW+sGCGRMHKno/2j2Pm1fsHf9CEHkolgOEfl
zp1b/sqqxjO77D3WUMRuU2+O5jDwtxUM3mxRZPMBDvSaKG8lE/tBj0OG35E0XMrt3MboZqfACXTu
d7Uy/A0LznvRBZ+1Q2+z3+f7Fhb4Urr9DvubWmo16HMrvwn0qecWD7k4huCII3QZ2d15cIsjXWf4
1NNsaYfeK9y8RUsUv4MH0oz6lnAt4cf+WTer/VzhDRDeXadJxvmnCm1ROeWd1VGAEk8NMFVsY2Gy
yzgAq7i/BM70UM+GNLO9Dczu0NQ99xGcfgo32DSZG8dp1hbY27JEWKVuZuIUtja+aI96MW08cGpL
n4tFXenfsoDLRWt2b1ZMv9SAv3LPHHljYKOowvDWmLyT7xGmmcBSbpxpOOgOdV8lSNa0CjENarG/
t0LRbRE7b6xMo9plvKHf+MsyJ6bXaiWddi0bT9sQzSggW7TXsa1uWtd7VHEXLXMhSFDnwl+rxMxe
UtrWV2HVfyWyQ7TRn7KuwMNWniIfEinz8V1HvbwZN18iHNddZ1SXSKlNnUyPqWFyl+8Jy7DTl4W4
bbQAbIjuv2pO86xqdWQ5Vi1kl7tLMPZLrHVHE4hjpMSV4MzRbluOcXvcU0kKqYKMOGRcUs/pU59p
Q7oytMLYaBPt5R5QvUyP96aYGSBDPq0InH23e6tbjX2pVrIx3v1puho0kqwZF8JVaBob1dCuHFgk
kVqicn6bnhnCOS5HRZStjJ/LxLwpCfbYKbVefUlsJpIfmFtXre4f4DBepaP2k8n51bj4xpFyHtWo
PVWqfMhijG9DYa2qLDaQQIZrn0J9tSfvfioqa5V1SXfbtLR0iMxNdvaMaHWIaOA4MLALHX+ap/5i
9Df/PDTPqyCM9C7KEHqqNTcL/3malbVn2KNv+VfjPl+80Oh3Uy+ppFv67w938sw9cV0u2118Etth
Fe3KTXQQ4Y4Ouu2P7+M/A67NPPg3Ay70nvf/tcze/9I3zYf+a8qFGaHjJGBX7xs/oqB/GAnwGMDv
A6kmbOBOPyOcqB7zbGf2CzDn4gP5acp10MlR1eEk6hZur39TJ/9l3TUr5fjQfN2bh2m+2vxN/Hy/
c43QyLJGlDSvN2SoWjVjHigrV4oYvKlCYz8E6Sazxn2RFyQL0FVfc989IIFtPL9FWSwvblfvE6Fd
Jy1Y63aOFEv53SmL3fKaxM3TqNsvnl8RBZKzYUtr1/2YPvxGgm0nuNkhm8MycW9VSAZ7wTu40tfQ
RYFjegLl26DsD/ZPv8JN02+jICJjLzzol3oLs5qawClpaPMJMeni1p2CEvVMp1Owm9sF8dkCTmDE
G0egCgSKxCpStIb1vf7Yz/WExO0Gk77C1rexLP/oMGzEB/z3aFnN/Yb13HTY9Xi/AF+zhS+SDx/T
3XqcmxG7HCkpoyxxKuxgn839iTQ7r8sCqBRW3+wohDacINX7c1irWNpN8hjXOTJL1hqsFZMrtrXl
XMm4GCZ70zrdA7K6Q5FI/TivL6raGPDpQhpXZO6sOui4RhTdqtCyClFMr5f+bIJL6+5cVQmQq7HM
NlOvYeASB7B9VGz1LMlm98DA3noajJ1rMa2Oafy9N6xzWEyXycx7Oq/AH3VJ85LN53NXzoyd6tRF
HmcvAWjaVbqlNql2Wc5dnbJEbqnahEPPdHhyOLdpMEZoanJYmVO4ru3c2wxa+VGbBHNNXQIpGNZ2
rW1LPYdtFF+NrDtaFjeq3JbHuuc1E3Typo6dduGBtV3qiItrm5lIotDKpNvWuL5dEbHK9kttWVNJ
sEuNYpVW2rZJNPa0pTxPNIouBI1MIMedO2STMwuaGdDdq6Wd2+7S5FK3sMopXmR2y0I31SEBDmjW
uAgUXKRNnxTn0A7exrofN5nmbUPWSCvR6k92Xb8lVu0Cc8STXbcOdvrwNkRENlS+mkJ1qaX/vaG0
Ht1e8juUzj6seVBMjji1nbzGpay127J0s+lzVFm6c/N85afVUxqE3OaYbyR3qnPRpdUhaf3XMtXv
aCb47lXjsoH1Wk3hJiycVSUHmmex6+vmscyiS1yWB5XIS0HDc1+g+8L/wrsXdMPeCcQX2n2XIMBa
9jbuArdf2EU/3ZvOdA7rht4n7ogbLHM0BloOX9feVlmzHSAzraFj7IbJumnEq9RQLPPOfyyIGcM+
OzZmA3q7FfuBEGRYTTcMDLugj/Hqi+6Ww47kN/R34EcIinRiBnVwY8Hfp4mI+xjifNnFd67hzt7Y
+4no8cJpkN4jwpgLs+FCbefUm/mhYW2aMYs3VupsszAOdzWKG6JdxB1nzNg8dbxyqJ+gkIfexUVO
fTNtXy+uXXyVjf4990zy8mX2NBXhSRjA21RNh4Kw4OzrTeAu3KT65lGGc4JadwbjyzGh6zfcsngz
uLVxHazs05pctdan4bOTROhzR93h8K/2VtG/oexualt/GWP3TMJ740ucQbni/eLZ0t4qKhgL+mdW
WGU3lTdu+wDeb9Xc+DGttU6ymSSuJ1EHlwQ0xoouth2thfMcIh69Lljxlful5dsPhi7MbSSITE+1
Ua0rlah1rZlnxdvgxi39OzHKHdVo5HiznqowIL5mlRiLuLSIkbntip8VQTilTsOn5SOqSWe0I3Fe
rttrOn6+Qv8jJuciW+su5XfCcwAIfUghbpt5N9iLNzr0c46w1F5UwQwLmIZ4OfTJlnAD1PUk88nV
wQbj03kekVYhwkMmwkuUMDOxYeiPtmYQcgmNcSdMdaeKbGXkFemIMsZa6nHfgPHM27YJ94ruikAj
TQxYhk0xdl73TZdTTO0JkQBlC7Z1aqNF9b0Zk+wHIbIMI6eDxTPH30P5kZpcojVpbRvhUmpU12cS
Og2vmuq+E+pk6zLBCVpvO5hsIq0uLCeyfWUMNImoO30s17SujOi77rGs/R0cs+EhmsZuM3TmZ+pj
TqUt9hYBHNklI4/2n3nqtwga+tnfzFPRu2z/SjDko34apcif4cnl3KDmc8Zv/SQY6uiEqHUCzK83
Q7t+Fwxt4x9EARhtPGBZhAV0PuHvlgNbx+MpuMV77j9lxl8sBn9nORD/3ZxlwwSDlUr1GT20GCP+
PEqZ8xevsjqDWOnCELA7TFn28MQOHHpfrV2riA0ZL+RzmhGwakaQcWMIVZAE5KpX3idnIvsL/4G7
CRqFgbFstHzuUvTDlJ6187KOBH2wzqniHHho5ZAkMfPQUGkZr1K0SxBEPINZ+EjFe9xNzkDOP1HW
1oNvrVsNjs1oVOda2R8O/oFwJBpuyRKeQJx3u6Rqdo3vI+nQVmSKzQThHrs0vB7RA4MvH92hvwxm
1LGxtmO8eeZ7hi8U/8VLpPdi4wZBhzcgH7cNFCFyWdzwbUcehMJe4NEJ25qsbq1knUbJPXivCqs7
M0FfqdvCsDFpeNVmcGaWEN/c0XJp7ibxNa24DxYLjeC9b2XfzZhl+8iNcBGHHObaGDzQe/qVVZ1a
6cWgLdC7zqlNUUAcmumaLqRsCcAEK6BCcXRHb03ijbhdy4J+yB55vGqHHE48yPXbCOV2UXj+weg1
GhREe/YL86HmWcpQfBurWFt3896UVcVWn7wvQ5v3+GZxSwN3vkCxfk0S426UFVf+oKQqGhQBTUfW
w5THrym1FkPGUyX2SOVZMQ0xFJYktf41VxHtoCXZ3Le7cR1Jh5q3wKIaKnqOEr7/EDGVorm5LRHU
fOewSa0Ky15TDPxZJulek9lqCBH+YkkTdmswgcZ8HR2H5hj4xaIsaJYf8zvVAOcsvQr8vAV5PnTT
RV0As2pHMGVDwseBKPA5lVN7m5fdtSw9VpcBf3fJMGioGrm7ejW6+MQV99TE1AdooYEfweHRZZsF
Z6+kMIrMBAykttoGVnmhY5UqDuHuM01inpXxRU/K1zqp402dYTWg+2elYDk4xBMXQ0/JqpH1u9rQ
b0xTLisxAJgxgmMTdntZVI+d1m9LWZyjstzYjoIOlcdkWGTvgwoYmCGyiEuG3r8gZX3K3qTbVW2H
uKLct6izReGUQN/5qUb3pqwHWu39/t5Ls01LBct0aftzgPwy6v4+VMXVEMWN2Qc7VsZXrUMK7Ofi
rrn/owMi3pXRxKjLlcmBmc8LNA6WjkZMrUZ/Kws+aZGLasmGI2dO75xVrvdfpNzSlcotEoTV/FZN
5TeVsBwsvS83Ud2+1GoYOZ3vbwlU7yODPetEhQ2PLip7F17hqy1GgXAtlBUsSzcaNr7mMSFhSwhV
BDEvSJNN3tuo5+yiuyj9Xlr9Cw2HH5M7JOtSkrIJreFm7LgqENGmFrZFOOI46q0lq2qaFCg3aI+c
PTWQvYonu6prc1Hk7V4U9JZsLPwC4hGKqOdtIyJH246SYt5LdWEs6C9tJnIesG3XXqHZxG96KMU7
2zPIgTcWkZULrT5jd+/rtDvdD36jWcdOdeVxEEUWvTSTbfbXtK12Zcj8USVgp0s7tRG1qMKo9end
aMI7GVggX1N1sO2i2zRao7ae5hwF9e4rLrj2osucD4Q7iVvGARmT2C+p5nhUpGGbMfTJOVglL+a0
IAfL/64zsZZvVWC/R0mDDORhBbYmil/9iNkrmkEfxYDtQ+/TRdMSHxlTdR7pbVWxn2y4fpztornV
gu6Ye+UbE/DXpFnLQVEGLLm4MhwLOr4sdWDXL3RANr5bvce0nzhxAB/EFNGaa767oFryXjeTSyCp
HknG1ywyvyZD57OE4ivt8yeqC1fadCDGCelD4L8Jm7t0vqTrEfwfRTXNMYvcs55m8A9U+T6E0z6y
LKwimnKWdTwVC16MF8edCUPCD9e6pt0iXZirgQqxVay686SPR1+oYMlvodq5BbcOiT1na9k9Zzup
K5dNEgBDdvIsnR/adDWJ8NlspMZvMglWkZbiwUj9gS/edBBo/Z01+cZyIjdHwpVK7cFT5TVX1UBV
7nCqPCJb2JnCRWi413gozsx6pM5Y3vhYnmQud2HXvjv+MK7NPr0fsZat6brM1oHPA0Qk3WPQdXLV
DcUzOsQh0Shudrvppav9iMCVY/MaYEsGdFtbNmX7KX3/kQN6o1cY2/No7lG3dlZSPuKF2GoxgjN4
2X09WDe9V935ovwW86BbGK5+sXUcRYL3HTilYBtMRgM2r6E6reeR0A7hwhR+gp8q3fuCUHUfshT0
zHorRTwsY1te07i7YRLZFGb71OfGrkpZuNidyQuws9U61fN+Taqx5k5IO4sW8q8u4z2p4n5Lp4yx
dbj17Ft+oUsZZVe9kgm78vZAsXcDC5Bbg1SPGTVP2Np4CHJkbbR4CrfaYFB+4zvLcYAeBUIhO4aG
SdSOrZwmq7mxRs+RPIGD9gG9vyMqAzVr1t6245uoS540nX54rUBw4ZDjgBPDbspN3hLCuzGbfqLa
BAiTU6oPcgDPlqhJhLkfk219KEffVNJ5KdPwhSyVQ5F5vA/y6kUvvZ1lN/eDZx6thFJrc0yXeoZU
3Azv8/6mc81PP50OgK9v4ehB02n1+8KeD3FNwPahsO8/Y/dvYze68N+M3TEdS2PZMWT/MCP/gaGf
owU/Dd7s1PHHiBksz8L+T4M34SisvL/xHWaD8T8Hb9j1us88zrzm0Yo566l/DN7w4kFJ+Jyvsyrq
/jubemK9DNZ/WPbRMFnS+yzpdbgyDt/KL4O3gXTUpY1T3qhG5w3Ws4mzK5vWP3vYRS4nUT+SYyXA
CB0CAv9Rz3KGSod2KToL9fIlzgN5xubLzc6y6vuEg2MnVCcvQxpU36sWa5abARCIMpcFL3dYEHC+
RtlkzhB4I5u8vdZJYr9qutNujIAA8ZJ3El1dRVBc0rDyv3tadIfoww7EwFxphtGwnTwnf2y9URCS
d3krmKI7tzJy92lX0Dvrdlq6MQQ5WqvT6bK0pPlZii57EXpW7EIhCdtXgXzvyVOvI92DRtr4w9ZN
gNNgtK1uB4p/so5iR2STatUPhk2OVGMr9UGbXWQfDQpeRrXBxthtMWV22qcd+kl0ocqMhWgdyKK5
uhHjohsaKrqPEp9TfugkIUcOIXe4eL5WYrgNbShbtHMOnks2o69wIgimiPjoaAXjctxl47eEFXm+
Ngcfmn2gXp0hs94pbRYl1mEW2FzfgT505HTboZzeZ6UaRZg6oCOMfYLLoeFvg6oPv/FKipds16b3
QEbTpxOrl0arN0UYH7QZKJcbzDSDaKqdVg0hSxqjG7cpFkWOvHY8paWqEPN8rBsqL7G/xkMYb2Te
sslEg2SwTutn242zfeYbjxYH9K7SsD1F+tAvBJB8SHXSufeiij2lBnK50mvnoliVruA9+DqyiSgf
Aqnj9Okz/5vmDtrBylp3Uan8CsJGWzVtr7a9pkm1HrK6ble0RVZkukq5x7NQ3HH7nUPDk/MWcu6t
Jt9NHhVj3clN7OQsGRBfjYBg7TDN3sSU0vupU9qRFy9eERdiURI2wQsVIcNjkTRU5pUqvteovrqJ
ethhBd0n2aqw7V5iz6NTrgcqxOpQCbkKG54QODaEA42H49dBK8ysg6sG63Z0GpbNeukYn1VZTZs6
1rEbcrYv2sET/3fyF/8feqZQLP7mLC6z9+IvUhc2H/XTSTy3DLMScnS2xD5n6r8kEPMfBEE9y2Vv
ZKE+8E9/eKbm/3UuUSeV4ZKv+NdJbOGZshhfSKXaputaxDj+DQmE8MevJzGFIHMDvI4Pi7KEX4Op
tpcnDTPNePXasLlht5LfxUblvpSZbR7GIU1fR6N1Nx4xwzMiaoCQ2EcrJIbpyfWH9j7Syww3PdWt
wGCCtau1zbqI62jtYUfIMkxQ/ZyhFnOa2lItH9+DL1uRf8VaUVZqp3GBVyb4PdlG7c6orPQjDnRI
IwWof33Ef9pAZ3jLoyg8lPXcoKu1ycqc097S8yrEjfHJNyk7nU+oIHcPhBc8DkltOBZzbrwpBwUq
miy5yvRrOqfLuzhl0+zU6SIieo71sF2UvtWShEimeb5NEqr1jMEmTopZdJpCLnvVa6TCgF1Vv4xn
vZ+mDer6inRvTj7ITts1b0IjfNHTEXyw1WzsqrgVZU1KXm+1beuEEwy/zjpEEYaGjD2TodVyH+MG
XukRLOk0K+x1D3195xhQfbg/pYc6r4ZFUPa3U8PmvcowXNCFMS00IdiEQOA0Q/+SWBy9/chvR+t4
ZsWYsmhIMMgBSxM9yh2qfR3JQ2cmb4CRyOlnbbEwPSdZG1SYRGE9tfjK+IMxdjarbO46CSg9SWyN
gCUtKIo6lPxHL8rckELnU3JWlKZoKe0pGGmx9goaVQYEsJSKFUiot6BqrUWq1NakhMWEUOPT+gpv
s6GihfqPm5LKFj2UoLoZLiv2bopTeEHd4DqYe16cufElm7tfpORC7hb5UVILIwT9MNIZ7vsIe4Hk
djFzu9kg5PoVI9CuoF6mp2YmUf6Z4M02mvtnprmJxgmcG7g8m4mKmnyK24VDaY1P1zWYKWpsuA5X
1Nqw8+X5T9ENQB/+heqb3Gy+WQOmZ59SHCDxW8jcj7jGKO6CSYsrT1Lj/KPqoU5R+peYWLsPezYd
MpfhPwxKdfIHnvlrN4/Tk4G9rMPXwLWn8mkJd41GnULHjPf/GYx/G4wZVf/mMG7fYRVl7538i9GY
j/zXgaz/Y6YAAIc2HQJlf+IEGCzxHezGaMzC+DGV/nEg6y5weDrs0TGdH//0+2hsuf/gKHZneiIh
FNdE5P43DmTL+m8HMut9PAZwFw2ydUzif9akcd5baaOy8tohI05n+mJEcjFsPTHXLRbVG7xjPcU1
mbiIqr5h3/thM5yuGzN/6A123rmRn2qzec3G8pDJ4i7OaSLSTHJHCYBoIc44Y6hBcodtaFF02sj0
xLT0PCXFpx9DSS57UwJcdcpbas43Rg49JSKW3RHBAP/bLZiOkjPDJ9UHHqgMqy+Mb2TEF6ofwmwz
hDg197h+m/hAgKeldMXQCBPpcGfYP1ZWQqhHQ3WHwVzt3djNt7ULn5XqXPvBClqWXkE+JN3K9xl5
T00Sy9dkCBB8eys3N33XJxOmx+ToysJJlpkvJMpEI6CqSK9J6ANwe6ziTajX65wrUMi2WH3rHGg6
Q1Y8uxW2Kkg8W6+nFL2KnfcqgBftDrW6TbxsQC4rzzx+aA4gHLLA27mup0BfROjxZdA/mnrwpDXT
vnW1ux7ho+iHvT0WK5C4JzUIsrQ0KnuVs2wyE2U5fq8gXZG41hZl2507F+ebq9H9OLssG9+46ztt
7xjmugjqizcnkKwGkMqwo94TP2m+I2h4Cv3ikpvq0pU0zo/yzo+yHc3Nj2ihWAvdXWCEVydiPKyz
6j6rQI8V8Sqr9O0g5F3TouMoeGeO/ZzPaTvfe/c9echoml16OZ2lif9VGJCJM+di0T6LtLm1q2lp
sJ0PYnkDPv8VlC4ijbeqNGNduNFlKimZxMQAyPhSSAg9ynyeoNb01LTaeXHhb4kWiNYZRZeE8gBp
+QCrxQZT9QGn8rZy9DdTJBvwdufKar+FpZfAbKPZ2WWX0tAdlhtbz1FAo2U7o/kunRmxwk8ujWPe
1iPP20l7FJG1zwCXLbKu5ATP95I+KS/2Fn5Qf/qgkvoie2aZ8ljq0R1BuE1QiRMx2A3EW1TtHiF4
NE6DTQCNb2LpFwbxE+MEpPrAymjZRO0pdLG2xTjkVLQvJfgcYnSfjWve9b66a+g3WARhL25dQVbT
GaKLE9jnUZi0/WV6ssfjCFwhNktrRqTz+xKqvuqYCwaDl1Tn2/usx3dQzw6ECivCiCVBx5pg5xYO
0fBWzZ4FBRCuJyi5srAztMnIyw9/Q1VRWzI7HjQreEPTPg+zF8LLu4eUPZOl0ZeYzn4Jc3ZOGD88
FLObQouQQ+E3F2szMs6Bbd/Zs/eCgnY2ALMfg8vFTYJBQ9r5qpodGxVOVzaztNVi/jy32DowPywF
Ng+dLQNNx8i+sckA5XeYQYKI3T72EHP2iUSjPGYYR6iuPlkYSQyWR7lTX6r/Yu+8duPG0nZ9K419
ToE5HOwf+CsrZ0vuE6IklZlz5tXvZym0Lavs6Z4SMLWBqTmYGUtikYsrfOENAmHSFckjRFVexijN
gM93s1DgUdA7vDRi+xCBZW0G71VDcx70iitwLBKiiJlAtqi+AT4CsEsSQM2LgL+Qy93XAg+DaRia
gsl41ijaaQ9kxhTYGckG6pBDuOyFtFYatlcmQBv4vEcSCDtbauIF0qQ5bZjuFEwYgnsCpwPbEgEN
gd1RBYqHrkSxCJvhJBMIH1MLzqOouG3Nxpz6fn/jmRi/+UpAuQt3EzhVmOIpU18ghzQgRI7AEqHs
5YCoBV80CqSRb4AZ/e/Z/3z2G4g+/Prsv9n4623kFfFXf537guNOH5pkizP+mfz9VyKmYdpIeqZb
nLzPKdVbIkbDmTiBs5jzmCPe0L6XxDQHZrwFKYmSmcjD/pk8sqEAEPypJGYCDBXf5RB9E4W8P/fx
eMD5j9s4b/F2qmahpt16hrwK01TC4MSbKzW6Z4YoXrttc4jOmzIBFmvOldY5qo3InOZ0lRdeONzY
UgZUIkRkPFUCzJzMZB42+aOn9grgprrB8sg0s0aaaVLzpWKzvhqSsFuapYnWlT4AD+utmVmo2jS3
2vIUck+Df5/qL3pLeajd6puMsvkK28MzTNWVYGpmVTSnG3E1KP0lFXDzskACEgBah9BKnOIpQeFs
EjtUvb2G9vjg5A6onGRu99Ei9BpppYSWOw+TwEIcLnhSUrVvZpXQ3q9ZrICNQcEDWUKSXkNoL3JT
5dxVcXDsm5R/8510ZSmxMsn5+jGI00lpwQ6kWV7SOHVsGlmiRq91aJBiZZ/5yEeqq7pkOyd6X9ex
hlqQ5+Yc0a1BRT28yjABJgA6biUZVLqJO0eQFMNyFMu7bBBsaSj1l+hUz2Vbus3H6topS7ZK2T40
ivGi7DAwB8RwB/jsMSuzM8yVrEmp+EcoIFwYtXvjtZhedl05ayPnW5nrh3LjnBLJYLBQSeZUSXUL
VFd2H3bxkZkGX/uwhnfuSN96z8bUrsZeMW7/NFJnk6d4+CiYZk3DtLZpmDIsbUx4pfmefxIEHQdB
UQV/qml2YQ/hF/BzCQraoOTRte6RNnTYlEHCT8aqujPb6ivHLk6VajaPvKABXo9iGwiJLxnSootE
BsDV26Y3q+T+Bg9yGPyiERm0cj1PR4wdzVjCH0pvLnLRuZRFD7Okmann9T1p2xNuEPrC1ZSnXPQ9
ER+oj1JXJSCkJwrBtV2Yok86FpXH12M+1WDHjWyAaKgGorea69qhJLqtHmWLqWZnLARasQMtWZ3W
rCZ6tI7bWXMlrKJZY1bfSL9M7hZlRNZ+Ps1FnxcR/Inpu86E+ivmmwFrxMU5CXA5HWJXwaFE9Iw7
msdeSxfZt/tzjbaySnsZEsK5GdkIywWLRj0ED+h2pw7XrPT6OhcdapNWdZSYd5aTnIMhwK1DC4eZ
S1s7UgBJijZ3Wt9bou+d9ZQcsjDHpsJyymnm1M6kDtNFFuWnMCyXlZTcVjTSo8I7qWGIrBRa7AH8
eJWWOxYbaDSKLnzZ9+dJrBK1yPFXn469YVIDNuXOOgwL60R1krOA7n4s2vzgeVUAodFIlg0IwPOB
A4AJCA4bEAIqSAEgXl9jAR2wOd4nJmgC3TLumrI6VwXMwKeiMusF9MDwMa8oBRzBF8AEqamXHrHf
BFUZSCBUkTrTvRsFnKHIgdWMIBxGAXWgV9RPvDqe5SAh3LHcFAIaAXxf4HbVFQWFkcgBAIXDsE5b
MBUq2Iq6gzKkCbgFDDh9FrWluYrAYhhgMnSwGYHvW3CogWvE4DZk8Bujqd24QhGzFNCOoo6lCQIJ
VyiQUI6lY+xp6aUqACFQOdCSbZaElAP4CtvFFqW9LEGRuKBJWr86lZ/hJbl9FAjAiWsllzEIlN4K
pCMfTEogwCly3R+ZoFVa4agJJNsQQorx1Ey7aB4LeMso+6foDEgTnCz7mVTG37zRvSlySiWDAuRO
E0CZ3g+fypyeQ0a3QxZgGupK6jQVAJvOk8ZVDebGEl3BsRgvBwHHkQQwJ3K8614L5o1A7IDccZyk
pQJVHhk2+vap4ntoWwP00eCoYfyXGQs3Ge4T0ECIfq2Lqg+owQAUskEMmU1yq4IgGq2MP1VRt2j1
RQnGqM3s4wDMUYi/wwpz9oiSNjkd6t7LwVIeR5BKhsee3ZMrIRQ5L5RyA/DktAbbNIKBsATYqRoQ
gQL9lKGWgR4FBnrEq24kryxwUrJXL/SWSYD8Ajt3PqGwb8+gQcaoJ1g3OWirUTc2Uc1GGWhmhj2G
kKigU1SD0SK+LCd95ZyXDk1UFRxXzLxFP4QM1hL9x1aVJiy0y9KAIWdaI7Ikg7fm7CznWeA3Ewkl
zLkMYfTctgES0+1Ql2VV3geRcm2kTTyl5nerWPXXMAI2UrIvULMEeRRbucIOooDAsh9Q6+6XpVPC
I8seyhCZlNTOniqXFNoJFcSVfY2kKQoNHJaLC8482Jb8rMv949qhnFW3cFbJGudO0jy5ohQmW8WT
5uODHjoVMEsXIChWT0oO7Uv3Bn/hZCSCHjU5nPIaxC1qdjDXNs58pC5IFALAWEG2yBpvNSD2NrfY
JyV0WTspvR6y0UdlJvwTU6hH4aaMJnuyRLZuSRzBO3Dba8VA57Rood+NknWI7xlHcQruHj1vCyj/
OACiUapzgP4zb0i+RXKUkVd2572F1FsleSeyFkBxqfNvtpQCYdCdrx0agnOpSICFpuY68pE/yCHk
y+gMXJZ2espuXjnuqQ6Z0w8Il6cxVY5DFAic4iyL4wyCYBnIHp6JlEJGWvBO4b/Itv2XI2MQwP4m
ji4DrDGGjwU08Wd/BdK0LXRMzOkEIzWJo8cPHQ3twIRb/VI8ox391lgm9BaUGAjgSD8Lfefv7Qzn
gH9HuNJWABjKELf/SfWMOO5DFM2WD5VcdfgvbuUn8QPQSr1ZYHJ+kSq5rp9WasOONDQBivYTbehU
B+ANHQixZh9pIP45ihUAI/FaF2tCsx6GFovvnMVSQiIpxOpBAiqeNbp1JouVRRZKSJ1jU+SKdQfd
DtEXsRb93DuTxOpsW79G2yQ7r4b6SRIr2HC6J12saZ8qcSNWeWYHx71Y95oTnkpsBKWcGbNM7A1+
jdBKLfYLayifpAw6NDHnQ0tfeEwibEPZZCQ2Gx+7tgns85Vl1WcpRAp4zGxLRtF9xQL7Nq6HeBqy
c2lGfe/ZbGW4mtkk4WxvHgADrKjwVENdrpwr7IKIsWcgX9gYbXbIADG9TGA3wNJco6VVTHxgHb0q
HyWysdHrZKkB+6j04FgXOJBSkqY9wBBc2vhtZ5XI5X1DbT/rgdFhGnefASlxQorpgOlBmQDqeSzV
6rwcgzsDFEpEF2qGsADAFMO8QG4bMgKYlcQPJICJCAiOEva2MGCuq0A7Q2HobHyGvMgB+tECBmMU
dnIYKnS6DQGS6WT9QjK6+LgQmYMh+TRJe+U49IH1hgJmU3jxqV808twGgWNW9Pc7qN+4NB3ZGZgz
mdgtH3RUGaMCqcY8VZcAhqgZAu4pBTszH2J7GVl+OQsFCMhs3X5uCGAQJBlAQIO6QiPqiwt2CMOs
C1NuzuUs7abIERfLEvRkr6q4OIA8UmnzTHoBRsIbHLUO8EnoKGOerUrukoXmTrusPca/+MwXsCYC
xocQxWqzNS7g/R96IQAoUw3RkEH2stZXjoI8SzSat3VYgP70vlRgqMh8JejclIANAbBqBdQKEe77
NCxAAqoYpFn5ndQAy4qr7lZir57ypzHNE8BbmkBxSeow11TMthQl+5YQl06DLD+FzHge6ciM10NP
1wx4WEMReN4LxJjVJR5rpbRnYRaoL/7BdUO1Bj3nde2i0ixXuEtpAommReFdg2tVHNxqtYKeiMCs
sdZmNL2JSWqrXqYYuU2MDphAr6juVMvkY7zSAPKhR5SEgTYbgcYh2+bPh7SgWAlsLkjVlA4WSLrg
GVMHuI4ofx319P6Za9e6diQNnFfoB0kA8/B7m2sCqUckObf17ItsWt9QvoNNZenfylH+6oDzQ+7k
LMcxTxUAQKOS/Lk5oGY4JMWV31TrWEcENhgO7WxEIMeBkvoMKOxhu+BnOi3t4ZtalX96UnPcZfVl
DBaxbsNoEaT1bASlqDnwnhQBXDQEhDHEjYs6IbDGsq6/5VJCFt13Kk5s1jooyj/R1ZDB+wEqVwVA
su9s86huBI7RkGwofZD4OBspcxIGtWAsa3D3E4WO04wN+bgSQEyvalBUGtujWoA0VdCapt+v4Wwj
FyCAnHVRYekuwJ2VXqzMxJwVCElQQu+va6OAoiwwK73fzZBVp4ydGiWLLmNJ2CYubOhcZL3LoY19
od64PbbW3rXr6udZ7lw7rr7S+sEmSHbA+gzxlZvnZx7yvwuvtuP7sqtQ4u/aE4meDOBssbCN8M7C
Bp7mQRct2FZ1hKz8hz4F1tLowQKd8yM29KtBzwAlywmcY7W5BFik0lA1Zi2cg6UPwX3aVpo+MUyg
H3Z6hD6aPo2K+KTy28vAwEVNJUFwA61CKL6k5O3F/G3bXhvYHq7GtHmATQdYEsn1iZqqPrLoBcpt
o/TN0Ynba78MlkBtLlFRfzA11nYRW/aUYieRTE/YAownRZzHobaQFfeKnQj4JgjNZMC6T0MLd+Ij
YIgPsLo08lRehLSQF7EQzXKgQ+dMJBoiCzzsyonCK59w3JXTTkMpqu5lbwGQizFtA/OQ/GDlkJVN
BgT/WTTo4jZ6e+sP0WXHmTitQ3rIgQEs0bAMb4qwOdPNxoyjCQVUUQCocmnsZhFAFsR2MyiJ2FN6
MnrqUmTeGij+4ivwZGTGRejlmx5e0qTSQ+TC6PZ24HwgEqUnCAgVZwBWTzn/+4llpSsEIA/rOC+n
+qA26DYB6CriMD6sxuJWU1n4cardSYN+jhrnU1fEC8cNbzns5ePABJXO+X9YoT1EJ+zGGaOVJlXd
xEJJTnQCqFmAIXMNjTbIUNHNAlqGjEk7Uy3rMegzaZYgwTgtBCZmyOwrxU2KuUE2i5Jrn87zPAlY
K417KJfD2pSYDLXfqgtETbDMI9G1Xeko8Lx1iU2mh1jFpA/zZVbAS0+t/CKLkCUCV+TNUVl8zENw
Vkjrf9VlSlthYV7Ijfkl002wUcL829O+hTLVCq2FuK6qJaCJPsV00aKsXZuV8MwemH6hgg1mMOAk
PSpfzao9g/cazEfK53hismv7A9YvKJ91hOLhWk7V04hUa1oHbkjknh8HAkek1+VyGLF0aDQjnDZy
tAohT00xd+S8EwYxhYqvdCYQSNBvnnxPAg1ue+UC0qmMh2DbzjJ5oHYAKnmQzDukLBSseVxjmhTS
jV92txRTSHYCZ5p1Mc49CuF9Y+M2WGUFjUP/ujatAkG6+rDxmmqayM4tcPALL+6cKURDylC5hOEE
mNmphrhO70nxDPbnoUTkxIIMZVQYqofcS4S3LMu+xL+sClcFhQ4qRsGmg5gn5eY3U0YsR7M5BBK4
eMhafrMEx0+N1cd2KI8dTvLJYBmPVWstsaQvsbtRjtxUw5h8bPHINaM7L0mqadGX6tSmuh9KCXo7
D7JNLuMgkmZjFTFRmvAoN2hV5U0YnqlBhjxCyc/s6KsnwaGkh3mjkMxM8ka6shIoBmqSHepOd9cT
c1F+GlGsy7N0XtSaN4WCCVszKngc/EeovaCqiUYLFt5U7exBCOIU8ZR19w0ID3U1VIfm0GkWctvc
5y1L1y+VS/wXRdNFO9XMgHKcEZaTJsqvQa0bU8NCSi3ze/bpMj3t9TJdlKZOPbJ+RLYEyaAAWfoe
O76kkW/HODjqh/hG1aEqdYj9ZZb80Aquh42YAsBeq5tlcXOSV+UilXt7QleSBhBicMzacOMQG/st
ZpeYa23GpDwaHaqdHl1TVU3vA6xOayByeQujsSLKsyK2Pr9gZvpOZ8FOD7jJxlrKffnN9AnprKzH
WZaYr0UVMkD1iDbqoesCXo/SNd5YD2HdnOt6cZQEtTLz0FlxW0D2lHURCreuel+Z9wZgD7fIrikP
rHLdAfEtAV4JL2rYgENAx2fQUN1zhcNye1L22SGOMdPYkFv1qAqVYVp4lhpdxulo3g9ZYNpnhYSk
xmVs1KjoDYLyaOTSf4XIlJdeDmjg3+SgDXMnSTdbklD+7i0JRcxYEAuBzqkKYh+CI/hXN0c+gM4H
4A4ghyk7PwCcwc7p5J8cnupzL0c4D3xHcZh4x4LCw+vhGer8T/JQ0+BKP3RzbEMGuSGDL1FUENPo
hIs89QcRPqU1ykTKkuR8NPwj4IGoPGXUzqMUiHGYLVqDQDx041M9jwlkNH0lN8oyyOtzH0RACmHd
6VRodpIQbD3qqnwdNfpXtwJkldan/aiACtBXo2+WOMJlw9S3vK/VEF/CB4jmZpKsEVszp7o/UK+M
m3w6KmRDyQDLOI58amJJDf9C84+bJrNPUuR6bF9oTQlE7IhqV+lEDyawfc1VKHln53lJxzV3wvtO
aQVZigoZwd9MbaDGRUoXnENyezKzjECCmv509C2i7jZSDiFWnNS1dai5yQ3R9QZZpNNKd4S8zg0F
9gzJU2+ZmQ12DaPGYW2eG5l1FNcI6zq+cauhKDhm9Z+dby6qtmxpohBUdI59gdkYzWXUKrroLOzC
BdAEl0UIxzm0KPUqpXTnCC2IbMxnshGe+OXYT4QTG32M+jA1MPdOopEs2nSShRQ6f/ZWcmG0zYkO
s/AsLy7RglgkHLOUNs8tA3kxrae/hZZQGELCRMlGU5CyiKX7VnfvqM8uzIb0xmk7AIVx8hAMmAuC
c5klOPJNlD48GzARnRRRcyn3LnFpZCZfCv3QHCr8FGobHB3dovbMk+2Fi04ZqDqzmw5Ne+3jQcj/
xjcKwaVZXaRfGm7DBZY4jQIOab3LlkYgMza2Qn98QJuB9xCGGJqHsh3PssGGsDJoV4ENbatzn/Qi
R8TONG/0zLyS6IdO8VA6cfBNpxxgIambk/hT6r6S0GczEBg4MTJi774IbzDUeMSscZa6CXTq6ClM
yy+eg/ySqRoEhjzUKneVDqsOF6OIrPemlK8Xmg5vPbBQt8uCaJEHDSDpZGWMEXph7SpStXieNj2E
IfiRAJTymW4iRCdb+X2WJXMHda8TjAT8aRGTENAfwM2nVyqYsGVPa9+ip9lzRJqKk59CLUdWOCKT
aIi4ZY7ALEBAD50Ae5Y0tCLjEhnRrI9pdETIbFX3gWmdGLpxlbZZMLUCJ5lKyjguk5QIP3VLQCwD
Zx6s/D/ztLi2W1680XmzAeiL3LhYmkvKTGuNKye3r5rOXXUabU7FdQ+tSLInBpN+As950Y/ISJU0
9sBsRtUk70o0douSkGUc1oioVFOySUJwRnRS46lct9JMjujuDiCFFAGjcEx5GaD8MR+iK+BWCvJl
cJbGtRQN67o1b7y+vYliqPm9fRGpqChAJyNTUInv8Cn5AqSeUBZJXOE07Q+teYTwVEfPFOgl0n1k
JdKw5r0OR3plIF0OwDGiwDZTJX2j9tVpLEunvVyn88Ae0jm43DXQktWQ18aUBvPA6wro7HaWNRlK
gnC16K4Tq8umRVUrSxegqoBHcj9tnM66hhnIv39TY7wMByN2QauI5m8sXVGV2VQJU0I3k4DIw7rN
y+KsitF/UBV9k+egPaVuUYXkSpIa6/O0s1D2UmgnymN54irASVOdt82IHxcpD00XDrWUOv2qY7+1
IFuGShzYDnU6ArZ48FYuzNRVpgzrwgyypcPWSHy9KFB2Btmhn461f14Jl3K0nQDUBto1jnEdkgbZ
RVHJS+DTN/nIXpkp14pX0F4bbZDEmbX2wNfmpg8OTg9mXYDpoyE3t5I5KlMMRot5HFJrKg0mdVS5
X1tz/FrW1BEq3Vt5sYTrttLMacxHyOk217mtJLMy4v1qEio71N+mnSX8bRJKQiUGi+zyme+cs9Et
YaIhuaFXN4PbfYnU+q4sbIRfouZOd0aZNmKnUAFQ8VOsQnTybN+YYsWM570HdSJWtMOyCq9TU1uO
OdAqN1K+dhHESCcOcRVywqntIF2n5ebEKdUvrXnZVUeje99RDfS1S6pKE8p4XwibbwM02rFrrZdm
mp2pOdXPPFaqlRyaG4WNfq5gDkOiytKm/LqSDCJByxyDeWzRew50fZY53UmVx+Ct1JXVx2y/wTAf
B+UazsOxn9GjCLzmzqqpechFfVTUZwKAVxuNwJKh/w0LdxZnTrBUizKcIjRzpwzjEvmk8ITSER0b
qTx1BktaIF4TLbS6DycjJdJJlZNXG65wm/GODCqn08q0hQls5lFQGRpNXdHU29hB4p92aQ15ifjd
sO7CDK45nm1Cu6MYhzOFasPUr3jP1gBr3LPreQDvOGP/OnLrESkwrYTiPNLac6taP2xB16E1aNvr
Rh9AHPSIO/m5Xcw5PEKoON4iMZRTIKGH7EZHpsvUsXWqpTV1MKnUtS+BlbNDtAUFxUpaEVaf6Xrl
rVJf3miDvEG85YEjB10BHM8GmWTYRvAYyLdGHQoulZLNoj5+7IOIcpvnL1VgpxNKQ2wPnnmPiHK7
hA4QzjsaSYVSgUBHzg7deiGBaR57Anf4ADdb0d0rOJErSerUs6C0zrUcjmrQJMoUsustw88prsQb
ZFGOWtWzFjn4y7Iyl6Fd4TkKLWaR9nIEtl8WxoGoCCpFd5/WPdzY+NpA1tqMjdvEKS4ABVINGqPD
TjcXZYCgDuuEmli/UOr8xsr0RzbXixoY9jT2mQKBWVwpUrlgg1OWnS44rwpKPD6QNGtEkNME/4/3
4jl9QkSaXL/B5S4a5mVfMx8AuOJOPvpgQqp50mPzmJuYDgaZuh7x1QNqCp2LBGei2OYZQe59WeYn
vRVb5M/SXMHmz+jsrxwtFKrUq7Joj1m5KyDF8qTofAEkESRvwHwKR22knARufezG2R0tuHs0vTgj
UuuuUvvTrCe17QL4XSF2XOAwvS/JIKdTRYoPx+Co1MtTCk2LvFOp5QT2pW/knNGSedvk7enYY8qY
Bg+xbqB8Tr210oaTtreb1VAOJI69eZooNhT/hI1QQtTTCKj6GfoqynBhlsfjptS0qWcA8TNH8y7s
kuRCQ+5xRtVOQiUdTnbrA/ltwfrApFcpzyfpMM0rS0c5o1xVoEtmpRw+WB0xjN03F1aO9ItTttnS
c6rqJClKMi6tQ+HWstmUXMgRWDs4z7hg9RkjDEYQvLBZS0dwApOl6WeHzjOqOH5GGI/PaOPnLOT/
g5bg6y1u9Zj5S+9E/PQio1B8k30wovlbv/QGWt9+oVe26d8zrRHZ2LsE7/nGnm1zfnudeE1Br3nC
FodMjfROJSGjNyg+oOHiDFbgy48lnM4OYMhhdKe/MLR+GKNfjcLvH/Dqg5/Px+v89uY/0HEB+O08
CK+cgtdBYFjfD4J6YEFT0FEe/HEub3+Df+cB/87v/INBEPrtOw+CdQALAn0gU+NqfBjWnwdBJdO3
BIeY8f4PT4QfqxZw2v6dx+f5vq8D60AgViFjOy/rgDrCu6enDkIVRKWzrrwMzz4MAm/i59Ug/4zf
/Xe2BBjrhqkYYlrxAXfw81DAZbQMw9rP1UBNiLe385YguEb0+HnGd0/PhkjBS8Vc9GWmvHzVf3g1
bJkIgm+14xjg2WphQmDIrzvCzxMBmwLqf4C8xRT5z28JWwZBfpmh373j/vlqcFCi5fhjObxsDHzL
+/kgxBxsUMY6pcn9HISXG9tlEOBCw2h2YE9v3xKYCXDzMKtQ9nYm8N52XA7OAbQBTUdT4xeDoBzg
uoEYiPDU28+Z8DPL/h8vBzQDLUNnAxTTQXw+RAk660XXiBJeBnz/NkZj95lgHmgavQ0YKb8MFpCY
B2pnvATo+zcI8mcEzRaoREN9PRxECPZ+Y+SgpMnDriBMk9/O5P0bCgFd3HFnYM5DJtZQkHhZFD8f
lASPBAyKbAqS8V7uDPrOmSQMLgJCOF/arzJJTI1sBQCq0Ovfy0F4fTu7HJTmgUVH1DCU1yzh50XB
TLBwXzXYGvZ0ELTddwbiRqJGHTexl+3xQzqN8L+j6hyjLzHVvh6XymecFDAdDVW2XmOGD/NB1F8c
E3D3vu4MQhJnx+2RwEmVgYuLhf/+iCBsxJzP0l7P5P07HARyYcenNw8QwYC4Cnj4+bNlNaBzwc65
H4UV5vzPNQXhjLHbIHA4WLYJk+HjFNAPFLw6ENN8DSj3dVvcvaSgHTi2jHnfSzj0HBC9Ww2KdaBR
hlVR/dvTQVB2HwQqqcBiDZ1oaOtqUIwD/GA4QCm+iM++ng3a7meDTcBEpQ3xmZeo8UMqpRzojvgP
Oec+D4Wyc+yoGcz858z6dW3w1t8vDee5AKEgHr+nS+M109sldiRssgWKTf9FVknlUcMDEpH/lwHf
v9NS2T2VIrWmF0VwSE3/+fNxJqAo5VBj2deZ8BrZ7zITmO1skBaYyueF/7Eppx4gWqjgqLCvqZT+
Es7uMgjWAWg+QkPzV4OgUHjFIwxFxz3dE5Tdy23IotCHQankZSKIhu+7jVG0Z/mxUFPb10F4ubFd
ZoJ+gImPquFV8rIl8L7fDYJiH4h5gB/cS4i9rzHDawt9l6HgSQ1KaiKdeP78fFBSiIfZDSx6b9v1
2s6LAiFANERgMKPgs/WMYBAoPQBXF5p/e1lpem2T7DITzANwGyTOtOe2zwQZrSWCS/rVezoI6s5p
JTOBB2QIICZsHQTKbY6J2hR6u28zZS/ng777UOhizote7K8rj/DJNB0W4F4Pxeua3WVpPM8KywLE
8PKknEDvzgv2B3jfCqnVvp4Urx3EXQYB3o6oOaIFsX1pqBqNOji8mmjh7eWiEFZlu5WdNI1qA8cl
3gwvM+FD5ADoCbcyIP17OxN2rzNQVpJN9EPM1+Py50EghsRoyCF62u86w2vau8OioHtNco1RnKCe
ic+HgjRNLGw8dOe1prF/Kba6e4otYkicSt6mw4cWvuhWIo/ocGbu686wewzJIKAhrVNHeNkePyRW
nBHkVTj1vCzAPZwJuydWvGh4zDSuX2PID4NAiq0AbNLFQtnPM+Jliu6wJ4CAZqqLU+K17LZtEJC0
VZA6evns6VAI080dj0uiZfSjgHS8xpAfAif5gFID+6e2t91r3t6Og4CLvEGSTW711/t+Hz1yiMiq
TDdrXxeFtvsZQVcOQItig3N6/vy8KOhVUarGanZfj4jXGbrLxvAM+odyLOLQdzOAh1cAujA6r1Nk
T3cEfffYkSqDpWN68BYw/TwUot5ErAASbm8XA7e8445gEAogNMXW94tUiiIsjSuAn/u6Gl4T3V1W
A1kEFVY6Er/KIpQDgXgkWNjXs+H1xnYYBIF+1YQMxhtHhvf9bmdgOZh0LHD2ezmH9i9qxMZq1+UA
nMeU6URiGr71bCCf5IfUooQ6B599Ta313WNHiiyaqkKfew2YPmyPCjqdFOz3N4D+oPf/zyHh8gFg
DZMWzS8qj6LcRt0RZPxLlXZf58MHydZ/Zygs2teAH1/rCx8CaBq35JTUYPd2EHYHvNkA3sA78pw/
745sn6gV49G3t0+/e2FB1F0V8EuUT54/xGDvjwhYIvTtbQB/fz9s/BvnyF/c46kfxE/P1GQk7p+5
wC9s03/5C2+83Y8X+AER+My1fPebgqr8cu0X3KD4//+zfkqCdBZUdRk81uozWfSHn76RR5+/6fXv
Xx/x45e/+7K353r7x1WwKdfloz88/2B4vdGzdQK3+X9j/utp/TOeUZSC3/5tO836r3Dx91dHk3jz
dqHv7sCCgPn9Uf/v/3k/Ej8cvr+9eLJ+ysq3C/1wcRbOzhefYP+07caZqTtfe7qO1y2vpHq71g/3
znzf/fpollUfXilxBmHNJ1w8rcv1H9Osqrd9BdvZzl8x28R/nGXl1vFn79n5+vP4j1lWMnnervXD
+HMY7Xz9RYltxraLE/nsfPFlvEnTt+v8cOOfsVxXTfKQxU/1x8sLdPPOt36Y5JsyWMdvl/p+9wIz
u/vlkbB9u8wPl/6MFXu8KbeMueh/7HzXx0HqbdkIBEpw52ufrKMte5jA3n3Cpatqs21MPmOBnmTV
H/+bept4s21kPmOJnq6f2IDfxuGH2fIZS/R0jXPBlmt/xhIV10aaasutC6TIzq/1dJM+ZY/Btt1L
tNs/4frl4+bp7ULfx10QYXe/eMa9v13nh2t/xjI9zbaOyWesUi5db8rNsOXOP2Olnq3zbbPlM9bp
2aZdf4wdMQr/jCV6Xq7ZArYMymcs0Yt4/bjZEjuK4uTO8/ACNa1twZ1oPu188auA0LEKnraMjPAD
3Pn61+vHkpQgrbecpYLP8QlfkP4x2eDssu0LPmOpXq/FF5TpunzaupGJzs+nPMUs2HjbHuIzVq14
iAUr4DGoHrd9x2csX/EdR9m6aLadVoLi+imjdNIE1R/nD0GVb3uOz1jM4jlO1/Vm2/U/Yz1z/Xr9
x2RdPqy3xQwCl/gZI8V3TOPt3/A5C1s8xbRsxrfb/X5EiibY7o/gr7fmhII2v/vFqWFsHfxPWcxB
FeEy1Lzd5w8D8ylrOYvX26IH0RvffWAITLa5zeqfsn7/lY19ikbesEOB6FqUWbacw6LtsPPQ/NaI
d9c7v/mtO9nOV2/YCbYc8YIDvvu4/F7Uftd7/8INNtvWqhAR2fnmv2bxln1eSN7vfunmYUukbPzr
VbqtLPuX+N/HYu2bsOG2P3tfixa/8Rhv1uX//D8AAAD//w==</cx:binary>
              </cx:geoCache>
            </cx:geography>
          </cx:layoutPr>
          <cx:valueColors>
            <cx:minColor>
              <a:schemeClr val="accent2">
                <a:lumMod val="40000"/>
                <a:lumOff val="60000"/>
              </a:schemeClr>
            </cx:minColor>
            <cx:maxColor>
              <a:schemeClr val="accent4">
                <a:lumMod val="75000"/>
              </a:schemeClr>
            </cx:maxColor>
          </cx:valueColors>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series layoutId="regionMap" uniqueId="{352C5553-41D9-4297-BD76-8C7C05AC680F}">
          <cx:tx>
            <cx:txData>
              <cx:f>_xlchart.v5.10</cx:f>
              <cx:v>Amount</cx:v>
            </cx:txData>
          </cx:tx>
          <cx:spPr>
            <a:ln>
              <a:solidFill>
                <a:schemeClr val="accent1">
                  <a:shade val="50000"/>
                </a:schemeClr>
              </a:solidFill>
            </a:ln>
          </cx:spPr>
          <cx:dataId val="0"/>
          <cx:layoutPr>
            <cx:regionLabelLayout val="none"/>
            <cx:geography cultureLanguage="en-US" cultureRegion="NG" attribution="Powered by Bing">
              <cx:geoCache provider="{E9337A44-BEBE-4D9F-B70C-5C5E7DAFC167}">
                <cx:binary>7F1Zc9u4lv4rqTwP1QRIYrl1+1Y1SGqxZTlesr6wFFvhvhPcfv0c2U7aomSHnmk9jGqUrupKpAMe
4sPZD4B/37X/uos26+JdG0dJ+a+79s/3XlVl//rjj/LO28TrchL7d0Vapj+qyV0a/5H++OHfbf64
L9aNn7h/YBXpf9x566LatO//828Yzd2ky/RuXflpciU3RXe9KWVUla98d/Crd+v72E8sv6wK/65C
f74315H/Iy0Sf/1+9zv85/ubap34ZbSW5TszlUnVvX+3SSq/6m67bPPn+52h8Pt3fwyfuMfduwhe
oJL3QKzRCdFVqhlEUx8+MECUJu7T1wrCaKKqWNc0yn4+drWOgfJtXD3wtL6/LzZlCS/48P+DY+y8
DczLX6Pm4247L1s0XADmz/cfE7/a3L8DFqtN+f6dX6YPE1d0Zrp96Y83D7P0xy6e//n34B9g3gb/
8gzy4ST/7qtdVH+D+EWapEfAmk2wYVBGGH/80AHWiE8wZoxTle9iPZafwyjvUI/Ad+f3p4bsuvCT
I0BLJ5zqBjVU7RFaENZdMcYTQ0OMUD4Q44uxDL2A7Q75GHB3CE4M3WVavvsrcTfR5hiqWp+oBsYa
043DGCOQb1DUOkX0QZWjXSF+I3OH8T40yAjUD5GdGPZ/RWAW79dHkW2m6gwz8iTbQ7WN8QRTrFMC
tvvRMXi00G/g6DDYwwFGAD0kOTGQV+vsGAiD4HJAEJytRydM29femHFdNdgA4rH8HMZ3h3oEuDu/
PzFk/4oyP9kcQXrZhHBwr5Ghv6C1+YTCBxwzfSi+Yzk6jO7gjUbgO6A4NYTj9X1aHAVhsLlExQwA
3HW6VIAWY66p/JBB/ms0Qy8AvEs/BuBdihMD+GadvFtKv3x3+d0vs2MEUMYEM0wQ19mjngYPawg4
IaqKEB4EUP8D1g5j/tJAI8B/ifTEVoG1id6tUsjY/POSrqMJNXQQafQUQe95YvoEq7oGntjATr+J
qcPI7w8xAvN9ohNDW8jqGEhrfGIgrIHH9YLVhrSYYegEJH0QZY1m6DDKu+QjEN4lODF0bzfeOj6C
w62rE0RBUxsYPTploK53FTmEVJqOAGB8yHKP5+swygP6ETAPKE4MZ8h+r+tNsT5G1oRNECcYYfqY
FFH3EtzqhDCVA9xk1/9+E1OHcd4fYgTU+0SnhnYayfIIUg1KG2+BhFjr0T3bgxpDLYNphOvGAOrR
HL2A8y79GJB3KU4M4Yv0Pr07iv+lc5UbHJFHtQ0Su6u21YmhY7DZCDIoz1Nhoxk6jO8u+Qh4dwlO
DN25jL+n0X11BIAhYGYE6TreQ1afIII0FdKgj9Dv4vsWlg5DvDfCCJT3aE4MaDOFoupWUZfVMdQ1
m6jbQApKy4czY5DXRprODIoGNau38nUY8YOjjED9IN2JIW9H76y0gHzZPy/jGptQzImBn6oZfM/3
BiXAOQLgIZUCn0GA9SbWDiO/P8QI2PeJTgzzKfRmHKXtgEyohohhoBeCLWg7oMyAP2jglo3n6DDO
A/oRIA8oTgzhD9H6bnOcDDg0jWxF9jHPre7Vr6CJiOoaUvGvcPu5dzaer8M4D+hH4DygODGcF3G2
Kfx1dATljUE3Y2ZssXz4DJFGxsQAUTcgvfLw/UB5v4Wzw1jvjTAC7T2aE8N7Fm2SYzQVQRIUqwbi
+944eGacIWgbHOS5R3NyGNxd8hHI7hKcGKyLpDuG/0UmTMUALH1KbQ/9L2gjAkNNCGMDt3ssP4ex
3aEeAe3O708M2fNNcQx5NSYafahZPOreree8kx4BR2sbcSENQ+HquQEey89hZHeoRyC78/tTQxba
xo+RxSYTAA1ahH72/u0JLYc+bkiMYTSEdixDL2C7Qz4G3B2CE0P3YlPcQV+5eYQufE0lnPxqzd5r
31UnOkMcOjv1Q27VeL4OozygHwHzgOLEcF6uwyO0D0B9ApoDoDkXGoIePgfqExwZiDA6KEWN5ecw
ujvUI7Dd+f2JIXsDOyuOUVGGrJaucQJdnE9lxmFgBMlMigyi69susee2dzxHh9Ed0I/Ad0BxYghv
NzRk6VHqixSUsI4pdOE+yu8B/4oTnTJYA4eKFG/h7DDWeyOMQHuP5sTwXq7LcnMEbxp6RHRo2mX8
Cez9pBY0DsDXOmyq2ZXo8RwdRnlAPwLjAcWJIbxtXLyAnXzHCIYfRJpS6NB+lNi9jj5oBMIM6Vwf
ZLLexNRhnPeHGAH1PtGJoX2xvodOoCP42GQCfUCQsYJNcg+fofbG6kQlUG/UEQRXzy30eI4O4zyg
HwHygOLUEN4k0B7iH6XWxCcgq5xT+pSf3gNZgx4hSjSND5T2xVuYegHnvSHGQL1HdGJo3/ib4ijy
DNlpomrQEPIYEh+yz/ClCjH1o8APFfhovg6jPXivEVAPKE4N5/VdATsgk+oYZppNDArbqGDfxQtm
Gk3ARMMfSH9uP0Os38TbC3jvjzEG832qE8MddutXm2LTHcViE0oo1dSXYmo0IRBSE2248/UtPB1G
e2+EEVjv0ZwY0qtNvT7KBmfo2yWYMk198sz2cifQPgCbrqCvc5AXG8/RYZQH9CMwHlCcGMKXxRpO
LziCJGvQNgDtIYy8sJ0G0QkzYJskGWru8RwdRnhAPwLhAcWJIfwhknDq0REQ5hOuEQpdfU9NXnuB
tDqBVAn0bmuDJq/xHB1GeEA/AuEBxYkhfOOXod+l8p/HeLv9UUOQ/fx5EMWwCAk5bgJb3Q0Io3cj
6LfwdBjlvRFG4LxHc2JIX/uwZ6r074+jsDlTDU176iTYbyWg0GtAVSg3D5Ilb2LqMNb7Q4wAe5/o
xNDeJv7EBg42O0Z8BT1BBt7ueH1Kg+5JNsRXKlZha8bAA3sbV4fxPjDGCMAPUJ0k4kWyLu6PkyyD
PTWwHQ4x7akePfS7wSvDcOoMtPYO1PnDUnwLY68BvzfOaPD3KE9vAWw33kTro+TPQIPDuSXQi/C0
o2qv5wRNoAUQQdg18NhA8t7C1ovY7w0yDvg9stND/Z3lb9xj6PmHJgRqQAv3sDWQwv46jYEueLIA
+xI/mqcXAR+81ji4B0QnBvZX+f0Yta5tGQRBFz4c5fnw2es0guMroMuIQe5sF+ix/BzGeId6BLw7
vz8xZLf+yRTyKXd+eZf+nOR/5sReCscPUdDNj7nwPV8NT3Q4uNhg2gGz/YujMeHhYZB3XuzXMCPQ
Pkx4grCfpetcHuuYVzjkVccA8MNn6LHBsTSYQ5cw54drXrAm38Dcy/gPBxmJ/pDsxLD/BNUveRRf
Dc6Vgkqmpr60VXp7cjOHPVlEHezZeANLh9EeDjAC6SHJiaH86P6KdfH9OH65vlXf25OaX94uSziD
04ngIJOHz0/j8nQu+4N3/gb2DuN++C1HoH+Y8CTXgFnI/pcBfOwY+icMPDQqUTh7Sv15ysnQV4c0
Kxw2CT7AsBz2OPVjuXoN950xRoO+Q3VqiHvro5yCAW2mcPIrhF7aS646nkBcpjJIuw8EfTRHLyC9
Sz8G5V2KU0M4jdZH6UnbXrsAxc9tI8PDZ68nDeRZ59CltJdcHc3RCwjv0o9BeJfi1BDeHhZ5jPMP
INzWMIZD5p5M9p7GhkaV7RrYa2C4Gc3RCwjv0o9BeJfixBC+lXCuWnyUc7zhhg0G2XDA8AUpVkFP
Y4QYHqRU3sLTYZT3RhiB8x7NqSEN96jAFUj/vPsFBpnCXlsIs5/c671OBgydDHAsApwzuGuQb8ez
9ALOgwHGwDwgOTWUJRQ/jlHfhv3Umro93PUFaX4IqLflD2NPmsdy9ALGu280BuJdihND+GsaHaPQ
AbcuUDjgAuR0UOiADBl8QRGcJrgrvWMZOQzrDvUIUHd+/38A0tdZ3Hnh7d1mf/2c2wPx8NtvqIMT
PQmBdMhhwwuiShDsu4WKx6F8CByn++tmvRdj9MfL/fbup3tOu/OOj6/4+qQc59a5l2+k+3XNn7Wu
1vbDBYHPLqV7/duHRQ13Gw5In7ZBHQDx17k/i/s/38NeGw1uHgND+evuwe1AO5uoIDfxM/X8c23s
km4gvv7zPVw4CI2CCLbvEAI7O6C9CEZtNk9fbatWxKBwXyFkSMj2lroETvr34BpDNoHgCsw2KHU4
3EbjINxlKh++2m7xQ0+DwdZ649dFjh/SqHPT5NfMPP39XSLjD6mfVOX2ekRQ/9nj77bsGnAFz7YV
mUCTmw5HNsBxDPD93fp6e+oFTMR/QWkmblu9Ky47pSYoE1ii3BNJwoIFkV5y6evkwveotyJGMXN6
YlzlXchF76rXmqNfh4XcpGqWi7b1FkFdn3sUTWtNLkOMTaXuz6IELVmCrB7Tyqz19nuXaUs16iKh
yXiFdTZ1XLosPWWadsoVCbyPtEs+G21lMiffMJ2JAjERdckilKnlKYoriKctDOZ9KrrGVHT1qguj
lex8q+bqqqV1JThpl4T1M6NAZuO7H43cFwq8kR0VzXfuVxcOD6dVoX3T3GhWV9VZ4pBppfHzWs9X
jueteNpOea+brpetJA6EluYXRYs/w5V1cw+hFe86oYTpZYCCVaogu5bcysve8tT6K/fLD54nL9ym
M+uUzfRG2lpEVgXO7JD/KAuO7ThopOlJedZztnYaKnyifw6CeqGU3KqN8tpz+5kSBFac9YJkxU1X
dqVwWv/SNeg8pI2FAvLRKON535XXMau+J7hdKSxZeU6+rEk8N3p5FhfdXOaloG72gwbZCvql7N7h
C83Vr6lHM8GUbF7RJBF61FyEkioCdfl57oRrLdWveUZMz3c6EUl6KZVq6eLY6t16UfSJWVLlOuDt
AqnOJz3uPrpcs0niI5F7vu2ErS48R81NGucXPouaKWny9irqpGOlPlnTmhezLG9nLDOk6bbZZ4wz
T8RN+z0BN9YVReGquV12vOltp2RFMA944i2qtCiCS73vW18EOkm0WQ1XkE45agD9tlwYSqrO0lxG
QmHZdZhW2VlCitos89AXKELaRWv0tVV3KBBR66eCJy62HK0PriEYnoVYLYVRufMgQaUF55cwG16p
NxPc9yZKJBVBRnO7YmpgStroc6dODKsk3Y2vd7lVca8VjkbCaS+rzEyzHIvGLT+yolLtkMhOBBG+
8lmXWX3wozEcT3AF3yrYuUuZZrFOv+yxMdWLcJWXYWOFTW3qkbPxe/2CBdVnpQG6i0JWtQ2/lWae
yVBoxLX9OL3CafypkZVvZXVZCQcucDJ7Tw+tINO/u26VCLVIOpGVubRKna/8onYFbYN7rshW1LqM
zbr2civEbONm/FvS4Y+GQTbAvyeqVC3NrtMiS8s6V3ixlllGEngiCx1f1BmaZ1Fhacy/rL34jMXN
J73tfkiqngWcnemp509bRdq+633ye2zzOMpXndPk07iOPNA4CrlII+cmyTxXuDwsbezVmiV1LRAN
Sr40QQ+znMf3SspSobZNYVHPTaZB2C4cJZoFKvdN3tdf+9TLRVS1l75Kv3t1+73V60IUbQzrlpK5
RmoDKKO5ywpF4BxPWRb1Zq7hmZPiL1XuUwFqysxLY+G7shSS+F86V4PBFf3Od/LYIjwQXFbfFVlY
JSad2TqqlSfOZ83Na7PjJQwgVVMPXVOTCjb1qpCiL7Jbr9FiSw26zm4J4N46zhctUqVwMofC+tKm
eajkgvMGRNQP4d7XFMSyaFgJ7Gk/YhW3s9pxuZBGIfzQb0QT5wvf7wnwVp9lrLxsY78QXS8Fi7VF
46krr6o/Jap6VjWsF5HCufCVLhBSbZehp940bnVuJN4t6qgq6oBYSRHUgumNZpFWWfqSIZF04cfC
0w3hxxm1IppF8sbzwmRaNKXrmUrq6KLOK9VUgtpb6JU/9aJaF4nKlJnad7XokswXSRmn01biszLs
rrK4TARFbXTlp7VvPr/Ydse+3aVZV8CKebqr+Ndf/3ObxvDfw023f//j9qrjv/8226Tb2lI5/NHW
F/n1q79vy93a/l9X5w48isf7kl9wN1798g2+yHaTyWu+yNMlhUM/5JHslx8CLa/bA5kYHOnB4E4f
CCR++SGQkqdwD6eqaVjVEIavfvohkCWCXC60RuvbCg4k/Xb8EDg3E7pu4IgQ2KkIVwT9nIYdoMAL
O+CIoO25XruOCBySDNum4BRGAvVCKP7uOiKsdXMumScvAx/UNou4flEk7TlLotw0ZPGJgBTnQRXO
k5RG/cZLy1y5kmCIu7z3TbZdUdzLElHBIqtc/Szdrro8KkHxb1ciDZEy87erU8+8qRvCem22K9fN
YA2XD8uZ13kyjR8WeedmX7nXpUKBPSKCVq0fmBku9bO6VfozI0tazzE71vlnMgqtDjvKvFKKHy5P
etNXVGfWoVQKD4V8EUm3/pRxxs6xT8ILpiXZDPk3mdS8zGZxp04zxMB8FYpqgV1MrFTrNSuKfCzw
gylE/DykRWXnLjKNCldTo81WzPBqUWspn9ZR3wrFqdpp6SXNHCRzhcqSm1WSfy0ad9mhxvbUzsIl
vlB197zpK9DoQSYF2PZcBIyZjSylnQDCwnWUyoaHuT+cJiXfuj6onWlugEcoVaU3mVeiOS/ktRdq
NyxQE7nIiKdUVz5K8rmRZ2aSe2SeG12Z3JBK5YXwpENroVFHn2moqQNhOMaP0JHNYrvpYyaTMLT6
OPnQBeWK6GCvI2+Vq/icVeARls2ZEhMr7d1pmYMJC3rT8LP7JsHXfsW//r/yeAhktj79q4EMhDZP
9fWhCoGoAIh/qpDteYsYkg0aJI0haNnuUP+lQuDwGApiCxoC2nUgdP1bhRgThKALEy5C4AziGR0E
/2coo4FKwtDjAUfmQzs+DPsWFQLnTu0qEA6HgMLhJjqFO4U5HImwq0A0DylN1cX6you/9eWqbR/X
x+Ol6QdUlI62sdBOrLS91FSDcAyS4hwuuByoKOmUeuUYrVzJ3rDBY/3RZfoqcoJro6h+VAWyiqDw
rVjXcgspyQJTPi/ywJY0ywRRSDpLG22W0GKulOptIL2pXmb3SoR8gfkSLHtrllXYiN6LLlGNjHCp
1VWuXbpxmTai9WvhwiSahpfH3VRLu74UjWosWq90wJtULzQt9ojVVT61dN2P7nMcOSLsUWTrJYY4
SnWVL0GkxBYP9TvptfG0QtQFZ8XLzxFvUuEidkkzqtgRK77wwtVsqBCBl6frzYegbZDQcFpNUQF+
WVck53Xhf4MwbwmXPFucx92ycet8HiXpPEmq3iqc/NYxopnW+xfMczXR98k3RW0MgfT2Rxwql1XL
U1HGfT+VOrPcrLqhQSwUNVtoOf8Wqso8yeRZlakpWIDuqg3ZWdC3iXD7wkJVeJZTunZQ3YiKBnOX
K5YM/XVVOrEoKeh5g80jN7hUeiBPGstz8NcydM+4pPM4N5Z6khtWgeuLSOstEmt2keVz0uVUpDr/
FPh9Ne/D6EPhpKEoe++88tWv4NJXZqcEZ7qi31YRCgXuNXDCe/3G15LU9MrWsyXzF10EMacRGIZw
AjJTc78UKQm/SZ3bjVqYgIUnIGSvp+DInrV9YXK9/qynmtl4xoqU5GtZ9Zehr197sZMI6cQzqtcX
XlMs0q5ZuG3w2avBFY95M4/qZunh6IagNAbFHn3GSfkJOfQzceQ0LcgZ642p0hbfiF5loqj4TNHK
rym8PO7idqZ0/X0YUbujnlk4hqWF7TJrAiZk7mZC7xIYlJVY6NQRLqHfQAqmgR98dR0nEG1ZBVNF
Slg2+Y8uDeasCmxdy77JQv2qKOpNScHGhE4A4Rk3VSP63ofOVRijXniduwyDIpwhNwuFrtBbr+fb
mMYzXd8NhBrH3zmKIXLPPAh4empcsLZMznyf9JaSodoyyE3A9S8yK92pgotMRNlWeoLmRkXBuSIz
Bk5+k1tG3hZCQcZ1yxTXlJ2MzmtXDUVLtNLmUVYLrPuO3ZRk5VaY2L5BPqmEuRbPHfa94BBvecig
KUQ6RIJ8F7VTmnGnQGgc+LW/agufLPOMqBYEU1JoYeaahQJ2LYhSz9I9WkAIrah21eulSConvE4Z
wZWIpXqeEUMwr8OiyovzCkKXTM/KRSIhgEZaEgiE83JuMMhduL5cEuTWogyzZIZ6Y+a0Pbf7FiMh
9Siz0ypPsYj96JJGahSakVJe9TW8seNkd0bffSocbU1DsNMaugg8FJscKYrVRcrSgch3Gx8bIiRG
a1ZRGt+khlRAVKkTfZZhct3URWNiTC51nwnQLGYR6JZGkbTSLDmnOQWFiIBp2lwlUnPNDPILoKPO
3NyZR1puBzV4UH21jAJl5hnehRqpn0MIzTWpnjXciWZJG37TA8cQpV+ZDXPIOapUiKd1n37PGoil
+j4HZ07Pm/g2RHEzrX1tptHUN7U+Z6bH+hBCJ7+46Fm40nA2D3l5hXJSmlFZijaWiegbwwKVt8DI
kbarkWIRdfVHomS3MY5NGQsZWWUhPbtrqpiDzpFnjUrSb4leKaB/lR956alWJ4tIwON0q8iIfplq
UdGZXUjreR149SyBdMgMVL/32cnhCVhGt0ms+RYkCvmZ7IrgLArcVcINYkbglC9kiD2hp/TWyFMI
qfVA70WMy9zqdMeZGmF+S5zuliVG/6V3Et+MZFpODekiQZt2WnUQamVqnczSLk/NCAhFURvyS+FH
bNqCh9qbkd94YJW8aq5DvkKETTbVWFxYXZx+JXW2SBqIz2lnyzK9VDt6FubdR9UL7NoPXZFm3kcZ
4Vsmc37edm29SJWgsFIn6sxMBo3IVPUrdPZpltbq+RdJMmRladyL0IOFTn2ZgXOqfcEtr24cbLRT
JhVuBlLt7GdeywHzDJHIM+PMtkEKXLUErgaH/SBwPwdETM8TmTiOoSnJDZJVFQaW0fYLgzRXTVFO
X3/MNuI58Bwd6qlUg93De05ARfs4dL1kFUfRRUnwR9BKH1gcfwN1WYim4wBAF83rNptGLJyX2Ft6
NRYMJ+egqZaGU4qAh1eeI69JrtqaJ03JK5G4ziaVBEJmEAG9ZyuiuuvXWT/IOexoh8qCbsBOWMh5
P58hI5YpeM1hsmpiyLN0t2oQm166fP0hHHpDducHttfB0aF4m5qG/fPbvXbPn1LKMOviUNarzPVK
iJ/0hZaCYlCdHOxGXRu2o9RflCxKrxIOa5Cri4Y1uki7DBSVpl71QTz1lF5eSU/jNwlYJZnWK0VF
EUhJA6YcB70wUnflK/5Z60A+pMEgNyRuItFxo782ULQOq8hEkevP+iYXTomI7UV+aIeVdqcUGCKo
QpqglYjo4O41M821WeAVoQBTBK6NRxZ5jze+TtctRH/SUH3R0uii6yGSobRT5ipqggvVy2LRt9ID
vwnybh4PqIV895MjUXybNwbYD+QujTgzpiXJqjmBQKxOwcShTBNdQEM7U/GlodLEavvWBX0fLR11
LfWpNOgC9OJXpkQxSDmad4H+NdIKz06ypBcZKYQG0WKvg+sBgWhoURdy460Sz4sqNkSM2jOp1uvQ
x95dFxkzlUDqikbeBU57yLuX+dTXSsgl4fY6JiRacYkEIn17ntPy4vXlADnRA+sBBJLBctiWGrY7
tZ6vB0dT0gS+q1YU4bXGS8jFZXW0IgpkpkGffnNLI4QUkWci0lrMjwoBGvUCZqUXjhfSOXbLi0rp
RdPjCyNlXzQ98aZlbORTKVV9ERtYCtcPY1GzmtlqqsdzDEbdapCfW5DoA38EFJEap4npG/mNG/ut
ibwyBWsAKb4KShdJlk9J3N8VKVlzbBhmjVJqFjH+SHAHvnPnWlqFLAIZB7MwlBDycuRLwMiicfA9
oW0osgbUAI/mJGlvHR4saV2YeardEKODFZIJ2eEbo64vwsC7yX3jOqZ8RrrqCwtDXYDfqNokl+AL
5rVdSsj6MgOyrlqgWKqDwXIQZa3AmjAzrn1FmvIFeXVu5VWv2R5Vp3WvQAKgTW2kFzNVDRY8qW2c
QrLaqy09hBwHY805LQKYkroEM5+ZMqputSZbcdYuyrRba416l2uw+YcS2+iAT5lYYR1epl67pAmZ
NqlueRRyIH5CTcz9qzBTwkXHejstO5tEDhQqwKFJiQtxCQhjrfAryK788KniCNpBQlQG06qSoUlK
z8JuZUI9e0lKbeZrOaCE3NjW3d5sth5qKL2lghw7RM3nNK2Eq/gfDE8XrpdOcaicx2DFvcadMxR9
rbNymrsi4QtdtxACqxk5zbQC854UcWZJJQ+sKFRmQcPO+yAUlPsZ5JTdxixVULo9RtMAyktGwz44
DM3dpDp3m3yZMAO83ipSLqOsyeZdRM90tznPcAC5qJQCNpkPpSU1mHtZc6GUECVExAy02E4lTUyn
+UAMm4YN+DGruJ2SbppCsYDWnzNVgfysegHFtMJuHX0ZeE0pasdxziWuqVnCpVMmDZxk1tS9lYHf
ME+7qrQ6QudFDV4ITatWUKe2a6dAvzFtv5FUbVAKxB7vAp6FckXA7tflRZy0ZlvHwmkuw+ICQcTy
um7YzfiBxQZL8UwzDDN+2PMSiC5AM6TpBtH7ur2u+TJxv0Bh5fUHGVub83fg/vgkuE4AzjpG0Laq
G1vL+KzI2ZRVnQdq3a561Ll25rel6Tv41ijddOGlCqy5tj7PMl8VKVLRBcuZIUiQKhBM9KrdwLhm
iZQfusqu2kRjkHiTnxQ/vUxVehOB+wZRj1mV+KZ1y9ZKKncaV/63JNA/K16UXbsyrG3D86pZbMhz
I1AFOBZ2h9TGBBdvllQa/cwxv8n6yIJMypnUqoWv4fPe7RZGxi+b0D0vwGxTJTwPcQLCpAjFY2ab
oc9xVth+5CyaDEF1qWWiMuJ1r3aGGTXu17zlxWfsOpWNS839zazu5lv2JxXauZ9Pakj0xC8c1q5Y
+83rv3fs7HXUfjf+wHCoSgQ+sht2K5/dZAEXufbx9Qfs+UOw/p6tim0DzfMXiEkcqiF2u5WBP/g6
EjBNqtc9liRezBptZ2F/6cFJUeCSwh5GMlh6LS0br9ThLTg2cXVXNTH4JB/9lv4GDby7xqGQzw1I
08MWWUh+gWu6vXvu+dt0gZ80bp/hFbgxd2DUrNto6liKXQvf/CwS8XlBzHr5/do3vU+tvY7s7jtI
dDnXFq/P6rY9dO+Nn4n1A6PPhI3XPs+4C2qkmtaWaqp2eyNn8ZU35TY3o2KKZjDPU2QWQhWezaFg
aeur5O51LrZtbXtcPAPX2CqfZ1xEThkxXMC8f2kX2KaimvIPVFyWUJi2Zp8Nc0mseMZX3rSdJzfG
/Nax3Fk7B70n+lnKRWlB6szilrKU82RWXnoCaruu9SkVcqWa3cxY8EV6Dun2j/H05nXWtd8t/IEH
reDSjzLFh3UpUpFNy002zW6RlZuB5Vie5dtQpThLZx/ulrZcGCYE7MEZlCXPgpVrgvGxSSjuHfPT
61zh3eTnnriTgXXwoVxXUAJceQsuPLOfxzPnNlFFCLVKQYQjChNaBWZslc/xN0ik2a8//7Cw/i1H
A20DqkbpyqxrV2qf2rRpznslXNVSTX9jlLZa5TV5HWgd5jOtrvuoW4FPLermTm3nDfneaXauVpCK
mr7+Voeh/vVWw2BSiUH5G3kgVx4NIfK7ztyr/90DBjGf1rKIkBgCqNA4xwHkATm1Xn/Cb4B5aDB6
JmhKnLGEdiBoabYq43Ca4S+9ZL9B5XfzNFBuJYrKoKZBtWq3qPSRydvA/N+9x2CBybQvJVSqu1VT
t6ZPVnHYmn384fWH/GZ10YFWIo6r/Dd7X7Zct61t+0VMsW8eL5vVqpc7+YUl2xIAgmADsAH49XdA
jrMVOYkrVefl3Lv3Q6p2ydLiIsGJOUcHA3AOu4GOizDrKt5O10EwF4lRRbP6Vwthv7h1f/l8cJIS
JGgw3GaWfnldCOHTCuqBTfNVKJ5ls+MBBci3/+ev9ZeP59VnvHlpWpIpZ6ShvoqaEPj9rRC/QBV+
9QFvSuLGhQ6aflyuXBRtgNE8aH9xm172x3968e2G8modUwbSp26xjjEb5GNBTsuBX2JEKE6yoBW5
nnNx/ue7FvxiNcT2W7/6SA/4nzf5FHvUJwDDHarqJcFn5+ujd7Edl/xmKwb8II8qUXh5euvkd1Nl
d/Wbh/EmOGFqp3lTmSk/dAXd/+ry/nIjh1bgj9bl7cphcnW9Gi+dd203cidX+zY8dl6R831Yfuzy
k5ub87P7BcOZfG/OEKX8onpBQ/DP1fjNc18cFdMxM+glyqXcSrOBE8+zc1veZVfxRbCfywd/V+cd
ENsdFGX7tHB+UaF/dQnJm33P0bMTduswXTnnPtclkM3mW7TzyuQ8P+nDUImLZO/snWfyEBR6z69J
2Tz9Yp389db7x4NI3qwTvgQiVB2Wptzp3Zh7ObNd3ZEX75ajPh4hwcq3q0nkH91dX4rdsE9u5lyW
cwWNQ04/t7+olC+D2U+vyn9e9+jNLUmdDNwQogOuxircx/u4LfVu220X7OzlX8mx3vEiPQ4HgHoX
ukjeVym6g66a9nx3z0rbJPzeHPyuDb75/tnfda2v9Tmv5Tr/L+p+ItC5r5bKTxrkyx7nDvxM2dtf
ekXZZ9bnhaTaCOibbZP/oOwhCIrAlVtO2x5fjlX1u+oHwZiYzcHxRzjFGrg6tpTfGXv8BJFKLylb
mYtjg7A0/oXox6oCXjVbmFkgFYCAKPM8H3/LT+3r/6oAjv0YTilt6M04N2BrR746YE2Ta89nFHwe
cWpnq/jQr0A852Fzs1KxJKzBcetJ7iBd9qb7FaRY9gyl3EE6XVA/Dlw0mNnXrnXO+NKqPnm0MV5F
NmiHb0LeMUHzMaTDUnhAQKF+3KKtBa+isprRPOkSsFeLieOpmKEJTg3g/DnBWy/ZSA8JQENoDJvI
yQOdyOgwEpk1RWdVbfG4tvKahO085nNg1qQiqdvHOU/j0t2m2XmKWDZ933r/P1v6rxdxhMSuf1r1
r00M3w0QL0r2l9/6Y9kjChCCNiS3+gBssYhfLXvkUbhIk4mB1mDl2TX5Y9nDt+yBREpd67zwPXte
7A+liv8bwkMhLUFqCTomnDn6b9a999O6z2IoJ6DGgx4mQPrNm3YWyC3EwfOsr7o1yKplrekA1BuU
QAFt93IbO5E5NXrpeOW6fHqY+nB5z0Olx1xl3fjx1d37vXa+9gD8rLwDCuJmOI4TIpwQtnx7ta/e
wrAzA88oGBt/7LwrwreuzuekjynQvwmz8LKG80OyYCTNJbTmYzGCtid5vUFlUeAg9e5bNk3uNf4G
nUu/bb33W+Sk3t7EUf3kGcfTv9qT/9wOWqwDKfmI+wIqBvcE6tCbK2YJxbM101WgI0KgV93a9wss
6cFuSkwf5YvRXlOypE5zCH8Nyw13g71YpIFGZ+mnb1Qr5UGpN0BYPGGyzScB7X6OF5qTigDCvuFz
dhIqo6pEzkH2QUEjw9s10hVTkCszSRfxiybatlP/2VXtl8KR8m6CBxFjbQT+m10evBJZwYupK0gE
sg89ST2ILkAOD/kAPcDNqiUgwtprP/3z4//zfAB6ycPhMhBmZT7WIv5jL+vV049cTSA5IN1Vl27e
lcfpfNUpWbC0ph/++ZP+3O5+/6QMqasJjhhDklv6Zp0NXWi2UdL+Kh3c8HFce9nu6ymF+IEPtHIh
29+KwDVpDyQ9WsWvFs2fuyj78VgoVp4WwO6C6vDm4xFnwCC2EewqGXn0KJo5euStvYZoE6qKJWAM
4+LR79d2XP185H3yNLWZOq6ZCS8gFpFuEaxNz4sm6cT7QA5+UNLUmKfBWYYS+kiRFFHWhxIKixhC
7H++e28GlJfrT2zZAJnuh3hX3/TCbjxHXRTVzqUHOdAjk5MCZ+jwqQOFZExHTitl/AtJs+FCbyPd
xX2oWeF7S/IMzhoiKENJUoR9szwxGQBvjwaa/AqzjX56yAEUcgH29Ay11QKRf15OsUyZK+kUXDbh
ONRZal0R215POsh20zLPhdSje7sIE0EfSyl4Ng/4GtQ7mC0Gv+DtKO6GNhJgOYBgf1wb0R+NmqZ8
gLz0fax4WtYQ3IMUbhqWsymABKFuFEjtwVHXowNSjBAPMn0HaglR+HAkHKJ4au/8htwQ0wXa+lnG
qwnqtMkXDtTui48byYyP2hDO25a7a9pctDRKH2p3Dk80TjGOEb1kYHxoKAq81OzopNII0P3pVnpr
5MCZob/CXTHdQygLgmgVU7Kr1Tgfw9r3343UW/m+Thxo/TbK6y+IMZXo4bvR+TyLRJTDoPwj77vh
6I1Z+41BaoT3PhD8nmW1TqCyD8lJ1qCtDe7D3gv97BpKGF2Fqxx3nqe9pWohVkDrspJ0LBaf1pVQ
AaYAMAi0dogLfqyfDthq/LXo3CYGa5G0n7Rw6dmX2XAfBVO0n7PG8cFXi+0xjXtZKVc3227hKSRW
WruPvmrXZ0WGISo2f4KBAQaahez01PR4Oda1MmSZ053sa1q2UyCg4BsiGLJC2eNGiwWspGoap0is
6ynpodPIw6mti2ByOrGXMa9IOBv3dg28sGRKum3eYCVNu2BaM7XXQQJrF9+2tr6dwTAKkRsGc5j8
Rmvq+9uDWh2doMHLJEp5/xUKt2YK0DxO8zy4kIZMgHVOGRu3/QIfR30UkoERbPy2v3cTJzg2xqIx
0LpAOmlGN0N3SEWall1dYz+cWr6OwFdX4haynbz6mo4w1fUHbhJobIxuswm05hRgRa1176m1gFTU
2cUOberrBa9OTIoxHVLL9nMldl3LZJa3IzavutILiwunhnE0AhbodmHRQ8sIjUY2r/VubZNWVAqW
I76LOiKgxt4iVMzO5/ACCSqdFqSdIepGMUeAiSQsfXbmJWFu6fb+tGdhOqdXkVOT+tQFyZRE6Fu1
GjdzUEjAh7oAio1EwG+1bOMukwrOKtPGwhxcpcQA4YVBm5zoyLR79MLMKfBY/Y/OIDavRPI6hz2G
CxecaeM6MM9MXfexESITxwAaurbidIrv4IwKgl3j9L53pmBGEphBqA9qrJbL0N1jMw5ODdl8vpsH
XAFEbS3ZKqj7oQ1MGwO2VaQGSxuigkGWtefNJxlEUVuSOiBzmXQLHidLoPPMu60JtqeW45jbMsUF
iDIwgo6wrLHwQFjC48LnfAxK1rO63OaaR7mzyiG7aeq1CYuAjVCaiKHZnLNbt+HOG2oCMwDNkqHy
DN3AHTJvJXD1hRQ6KPy73MtY1mH5kGAs9MogW4B1wPkM6xXcjTnDe+RfeVvHNpanS+gE70y7+iBc
h8z0ZZeN02U0d9iSiEo4fiETAe4WxhKve4COt6On0YgWSv812jBsT2R6FzZ+9BjpWtR56mHx7uZO
J0Gl4o3h4mevESWELlwV6VpXDJqIh3Zd0Vk0pFnuFTRSXwZJg8OSrKSuUo6RNO/SGn8navtG7zq5
eFeQMAThrZoi7503OfgXa+yotJhgHdLV4ouGHaT2/fXYJUT518xJMjiPRrs4m2ZU+6RVVN1og2Gv
cEfQmTldO1wYxANYBtjBsg9B6mJ1C1RJaY13uj9OmMf8m0bOnN/5aZeFRx3CNnmJ0c82n9Tom4g7
sa76VeCj+37bllz7Ytr2Lk/sl7eXvqI+4boG4V2FUYdvMY8RbhXlPd+KjMP4Vgwt4ey2kwleeTmj
KyD4GWqqP3X0evTgje3A91MXj3uVer4UDgUqx9x51DttVfKVWUbfFg28TAW+EQqIzjzbJ0+d+FD7
QXZKFwbZZEoh5yu0IfHj2gW4DC0bcxdM2lVngja3OUNLyZv7FLvFXnWudzVmZHyAdD4ecxpS5p/6
lGTzuaY9WUojkxF618QE+wFCV164yWi+8pZHN3pWbn8YXbPwj2ssiDqI2hHPZstsDWFjCxVGjEm/
Yr6hajfEIvsI24rYiXUgY56EKHNGrvSO9ZM6Z4I3URn50oewtY1CbEfUzz7IxllI1fodXpMNIj+I
MLreG58ECrI5weiDd2O1FbvCuIw7qpdtqbDJrJCby9mPizprpwU7bbC4aL3H5rPMluydY9CmwxkL
Qf23SXUwvgq4iZYjW338KS08uhXhSmJyHPBYYAHmWbzb+mWZLrVJ2vtmwYSeJuoQCr1Eh22N8XC4
66ltP7S87y+7WIcXzuSGfUXHTixnYtaBWtGNoO/QiahvbtahjKB0qgU6RriD8mxd0hG7gBnvWzJ6
7JPXb0EK3A0dmHk/TIGT4Y+pWkKS40Bk7tTD+oUS11mg8lQxP7LM9W61cuptL2HKZRXbZixS5k9N
cKN5u0VXIh7aNh+HxY0vQw9wemHQ3ahqpQOe2pp2DMbYLYEkOlWqrTwdaFkurZ/K/ZaOWP081CQp
TW1g16wHFY8f18h47yBtw1rDTpd9wFoX6qbLOg8F1h+yZpfCMwBzwfzgp/MKyx/nS/I+8rtxLSFh
m8LLsG7T5W6sVSaxuWNFQz8Bxe0Og4PRFyyYeH+RyIEGN7522/hY6z7D99LaIZdcOsNaClWjZqAb
m6fLtq1x/TLjcPTQlNNy1a57NGOI9x6YSwKBb02T7yK0/2mM5JJB4qX65+mtL/BPOOP/NvNg5LoY
+f7e/1PgvLuXjFfEAb6GYb6HINjf/QGqIGoksjGdSCOAzBZOvVegCjKaEdANACHDQ8K58X+AKkgy
8ADtYVD3cYw4pphXoEqCI+RTwD1+bNOHEpxT+y/ARMxybwdohCtgb8DfjHEF8Qva+GqSzUSyQfoW
LdftAuVjXcixd0+t9sJTt2FaKJpYvDcN8eF7dpBJgOmticSSr/C+0s6BAH5q3mm4Ynmq7xe4ZE0N
m/hAYyglrYUWGyo6x+nDCo4wgcc2YnEetHWfj3DfDlqf4mGOC219uVu75gKq89Vadusk03sJFy/k
yVC2vxjZGCy+eI38Slrb75ZC89k0Kdze6KgzRR+MNQmrNjRVBktT6cJBHMbwFkD64xfAKIoAaGgB
mXoeEhiPJRzIbeaVcC+YQipVRmz9EsMd3ljTcuQlX8cmYcUCP3OMXSoHtnIENYwtC5Zn9GKfYhLu
02TYIF0LdhSqyTxAuIBvDdPIMDgoa6E24QLvMVzVpq+/CFgVXGu3joBPMWvAFiHfcziyYfXpdp6G
SVsuTp+nZPhG3DAqNZzcQx8hTMGau+t5eoprf7uCJ/iRDRH0bxHDMBj5IqckrhDX4N35KpFliFEC
yk1sOr3S2X5d+dmLxuUhzRYZ5DPyNHYYaYstTBiUnkm/a03gFi0miyql1IWhfINoA56YS+OmuuRA
gXZpz4aybh1TTFjNuVScVtBzocC5MIJ0rmJn5vYQM2TrdO9Hy/Zh3RZa9q41VKnWvTSxSHbbyvlD
Lxf/xJIk/rQoIe6U9MYbGvvsmHpSX4xZHZSLafsTtnBYwZ0wbC7qtRtsB6svZrm1fr4Jt/6iU+ak
KLnOeOx895b3mVdRug7vXYMbv6+B2312mow8h2k7V8KaNeF2mysO/6YRPpBBa+lcrLlTSfSGcHtO
ZsNdX6sRLlAFNyja+KxwxvlKWqNobS2jCURxwKphI02soTSEszS0FtNRuEA5rOkU7lOMPiTn1pDa
WWtqbE2qW8i9srfG1cRaWPsXN6vP7pPv9lYYXXtreeXW/JphgDrGCLrLqbXGIqZiKxTcstraZtFf
l9am8B2I+J8u+f/7irlVZf59Mf9+FNzPZdz+1h9lHOeCZ5k9K8Wzpdqi3K8pIdTQBChd+mIF/6OM
I0XOmj49QOB2D3iJsfmBjePgYhgjoT+Dwee7s/xflHHExL4t4zBwwkiEqwBpBbLJ/vxVGQ9RP8Dj
GO86alfYvdkC98SYjvyyqdsi3NRtSrePtaph7pra/UrQuTI4DQStrS1gDy8RJkCu38sJqGLQy9t4
6fdI1jrPNSlioVH5FMa9Q9Q4Dz0hp5qg4pFrDy/XZc8w18SRycrEg62aK/RGMQxybQhEycxQqod1
+gAKqq3SwJl24TohdUIcVj+ASDxabtg6QSrUOQw/d8/bok3uB8Gl5SKAqbcfOmc2aMXcJzaoZ0ja
vyGDhZX9zGG+8/W9SPVaID3lYTXOR7mFcQ4or4TWPC2WLbvqYmPOTsjvYg+Wdt2BjNbw1iH6D/+w
Vs9RPYf4h+orRh8Yjnq/bHzG8roO/RIIAXaaPvjq8k+RuaGYEHPlorKu8hA3GS3rZJLlGqwmxA7j
apF3NAimcgCTdZQqmLJHj4VQHjMtxYF2C4UIp+MHl5mxgqtrzieUj8qt5ZoDMdeV8tN2h+rFj4G/
SK+IkTmSG7JOt9SMHr5YK28XsB77eVjGfEha3CpVE5SvEMLAsYG7seMwtI3xp36TKHczX6tQIhGo
7xWvpplGOQykACyyOtrHyWpuQWWGeTM3btlARU/7uD9l7QYFMw/ZZR25kMBnszpRsiR7LYnJO5B1
qhxBN0JRG9R7j8/PfobUnpGOCFjhNTlAff9lmfD4/DQbq2Vpg9wb4cwDD9AfQjd+yhwwDvMI7Ksb
sFQlJlVs46rAXtfepAHhlac6sICOYVXmdeE+bAOABouK9inFtKS9bA9MBaQkIJybZOvJCXcOhCP2
icfUqs19w9xDDfM+Hhj6lM5fYDmFARYu2AS6MQHi88sABBg7JIq0suaBKXXkeU36FXr2We5BzTA4
tVJMilPcVnh4IWwx0TM8LjDKGvrsOWGwV65xaO5uAnaYDHk8Mk3DL65gHGE+wNRWgW6BCBljRgmX
qiar5+Aqu7hsurn9gncOEGXju4d1491U0SbdIP4MUmQpLZFsnlvRG6j2Pf8WU+JY+pjRzlO9ufIM
OT0ssfpd63ikhD4qwk6DiKa+HT8YJyOFu9VwF8CiXCmqi2hRDw4ZP7a99Yhgj66o2ABECCD4jZvA
MmOaD17X3wB7YJ9NtiW5Twm9MHOaIv0BUDLcRTDfQvcfA9Hqu2Q8ZnP8hOySz7MLpI2koL4y53lt
JgXrMHsI4PhtQ4Cl8ZrsAxBARSukLSLZJW4FLHzZc4/31JmxLiaRvnPT6Gb06GlAy5x3sr9K3PAr
0hw+Lq2jSzQGN9Mm02Mq5QGys3u1Ze+Rm1BXLmioYpxltTQgrVjNzD7wN3SunQ7hG+jOiOMpZErv
iCuBRJEa1hKgO+fI3R41oJYcyQgH1tMTT+rrNIA1QcOLbsBi401BPEyHxWYBUyQ+dRn70qRd9znm
E8zTwcIw9c9BrscsPCG9DiY0GF5gooYLV8HGIty5q+JgvOlX5z5Wat03nLMT6aBC0j1BtpVZU1yS
Y/3RU7wbNGpS3a/kViB/DKZOhbQO+/Jsbl2X0n7oNES0amqW7V01sLuWyKFMfYzcqDDzXjXoOpwI
Ld8QeqbaGpri1SYtKkxi9no2DZBKBvQuEWGVbcCzYxk9AwDdSh5uRzM11243nkXQXESzFhU8Lv4+
WIO2CtwBEpVQIa0midx9W9deGbp9j35XRwhMQtwNBXZVM+bv/UCj1De4WqQekcpfYZNvu8CGkGFW
NwOqlDvW3n6F+Po2gvPygNwhks+NFyPAi0OfJfSaj2SCNFe0ITrv9Xdi6L+tjgsG9O9bHdAss/qr
iRW/9Uerg3BMnBzjgWMHvYewmletDo4OSyPXutKgQrHpNT9kAEH2GwIs8CPMkrCs/WliTX8DQxoH
YEvxR//1xJr8PLEmLloqtFO4hBQn0f651dGYDwFh1uE134bEHLe4F8GXhQZTfQ14LBDi0gEdc0jr
pC2cmd6bkIRQb4ZD2fkzBtY6ZjnYSl7BQRqWKhLuwV1hf011IIt56R89s8HxHrFHeKehXQtAZ0sV
n1tBgE7WDSokMCHrD0EsE6KcUuBSqdncA8tiVfLZq0HdcIzIjoAHXk5tSePpPHdDBqM3+7h48S1i
DyAAE7Lo4XxZtj0bpzVfXAFheNPfbmT9gF34qEKFt6rtAblPcKRnQMpyJrfHrEF7BhvsYRZW2Nf6
N747tZdzuPU7gNFdCUlmDx5ofA5q8jg381QIJ6km87RqPyrBhVWLg9arFd2l9sOPQ0eGXKXwbEEw
JwoJk1vBB2RYBL0DLUCaycJb9BmRFE3ly+1pTusd7KU2/mLvJQDWh36vkAogQVf5jbeA8Rl4IZfg
aYJ/g6/1lmeuzXy46Mx22CKQWDOpkXJjww0Fg0u67ZDdMxxgEa5037xrkUoxTd3tIN0zdeYC6Bcw
1EjcLnikM0zZlauZ7PaT46W7NB5OHgou3JBtAfXChWsNUQuD5afFNntCzy5vPY3y9bmRLfErFfSk
u3W2yQx74SHfDbEG7iek9iBXI174V0SZ7DRFQ8b8+StwhV3iYzddU/yYzevTGHpQHWOqzsWiD5Oh
V2FXp5WzarMbJ/q8OtBdNal5QHTlu2nTt0gl+Qze++T22wNbmgytsgqqhITfmK/hlSfmc0tHDlp2
ANMcdEW6oOeL3PHQRPIWcO8hkSksFcn4zjB8LeSJjTkh6XWtFTKc6PYM71Y504kDV4izaoqNe9iS
Z6/pQ5AX04dlAnItBrSzcHdccaQO7iPYgCVQVbihEOeB6R6xZPQr4SOM77PZdunaDEVjyN531ANb
+0OP16bo0k7nYJLQd6qtmkg3wAHLj3oN6wLwx42pnU9ycoHpBB6a6OY90voIeCg/yRVyH/A2o3+R
hzbhSRFP/amLFKSWYMlm6x2jMX9WdLoeRPi4qPoibrcm56a5gkLhPAAAyeM+O3eg9Ox0sBQN0A1J
0YQ207LuRw24dqKBh1gYHPHA04ct6SvRRkdXQWXKg+F+c2LbsaYgs/3ofeLQe+07uZutnyDDZseB
ZsdNj+eapMO57tWnWKO3TZN7J46PNEivHWQjUPSuQ7hdCSEPvMfa3DDplANyDksw4ncLpiYOEoHM
bC8bmlVcZ12Otyf+rBZ1pH4z39XpYmNM2h02uXM8oSt/qej/3dqsC/rvt7ZrOG3J089TvP2tH1sb
zrIFFOsj4Cl5GyvrAXIFGAupSwx0NXwNxgaIek9ibHnwY7+cjfkfhVuAuP8YEQnATQMAudgQ/8UU
jx32zRSfgJkMoMnDqAfFjfdWbTNiQmVr4taXMvMwhm8tz6C3zOqzA/3HuUsUZhjHNTMyP+gJSWQP
KUHS5pA0X4Ml8kpnRW09oMnCxjMGMDUjY3aoNIJnSOHHtP9A5AKsExnLUMF01CBlomExhsQBNmZU
S/Y0oZWXO7+LaBmppQfVDYa11s2OzqxBiGerfGtHC5fdKJssPpnEyfKMG7zfM7ISORvgo2qQFACW
Tj47KdGoSQhOiFi95KC/vsEwbAAOYHBzgibbtQvBfGYwVFJJTu3sXQ9bf1bIZdq29dYLNsRAZAfY
4S/Cvj3CTXvUrEaeWYw0EbBIEcj+BfI5FdKLIURk0ODcNHCt3g11egaS0RQxSbsCTgvvolO9LHxn
5ZWJmyaXgwMMYJyv9aSuHQ4T6EowQpvQq7a+x3REINfJ23hyhoIFRj7zYLpnrXvvxp6A272duhtn
5NtlEPKdGIcdQajbp54tRQLCFkiLuFzClmAPpc+JIk3hDwla4R4RQdlcZiYQqCvRuhvSccoTRCeU
Uop9N+LrDi2ACR+W5Ro6vNL3wKguZK0PbGgQlBOp3aSd/i5erUTEerINkg0yJLUMPtR5DFKnLdgh
lhgCvnkI3ytA3AlFlCsCNtKdi3wHRP6IQs+bzNFADQ/AP2xmjpPBydshOKBQyFv5hUwPBMgrmR58
cHjh0DVCfAgxFmCbN/BU49LVRbRMc+UjAGIXgL9/pAb3aTW8+90h/d/658X/VP8uHpV66n6uf/a3
/qh/GTTqMXQpPpSS37W6r1BMBFmCoAK6iXpmu+4fCl8rX4fIBjwUCiTkjqCw/oNiItIuxl/EzAfT
C2rtv6l/ES7t1TKBmhOUFoS9yFR2oapFP/Dn1h6J0NoZ+ni9NmugkoouNd7UOclMSQyjYM3r87Rx
RKwZhKLwD97sIdEDFi42HYcNy1cv8cYvvicgN3iFoINfh663Iz7U/F8tEiGw+tH5oHuRDK2flgf9
ooXPXnTxRikldwiDg16+NtuWle13IT19UdWPMfE3xIG9SO43JLRAcDcT7VXCJ3KrAB4LOKJTJP0i
tsHbzy6Ihj1Cg8Pofes5NN4lgTwy3xvACiBY7AANpDnowMxINraQD3lBfwhpxFQF2CYO1MJDTp0C
KLKQUfaCHpnBLJXTAlJC95zkGcXE7AqnyQEYRV8Wi2RtFo6aXpCpaARNFQGtilcnBDqYPjcdZupJ
ID4iGfAzFELkhS0AvLSFvigZ1Dn10KMQJnwkAyMqorVgmWthM/8FQRMWTJMWVpsjD7IsC7WlMkRb
Y+E3zwJxsYXkBgvOhbbag1HMEFzdPfEEIVyBBfOQUBbuVT+xyn2B+kiC1JFobm+4BQKBqByFhQbF
OK5VauFCkgZP1AKIkeRYFhYXESQcK9mTJHeBOCJZmRzirZ2xxQGOpNiCkhVhAYOFKhMBjUO5WgCz
nfxk3/dCnTAHN6UPodklrlnkxIKfHCgos3AozocJYawARJpZsHS1sKmyACrEM7wKLKi6zsB2Owu0
ijT41FrolVgQVlo4Fmo9oIsWop0sWDtb2NZr4/GWvEC5FtRNLLy7GW9E8LQFfVXvtztYNgAEL4gv
VBYc1l4yI/BPjVVtoWOvlYC76kYc/ts2viR5uths/r5t/D/twLq/aBvtb70qm4jBCFDn/OSF4nmF
iIAXAo2D/323P/yJwwdfhANmogBRc98r6o+yiYMKLFdjM7eyDLjJvzNG/CQfBgaCyChcIE6qQVmP
3yAiRCZr0wRpe+144wNhwBI2QMueiY6tJ7q8iUEdyrlKkM/iLqBgA3KRmfFqTdGZ1TYTW7AROW7E
KWQy+zsSuTsXQTwrW/wqTfq5WIi5cKe6jJ0eNBFGSpb6Q9F67QWNxrZYHAx1XD2K2KJ4XvgNATyq
GBxBChLps06Xb4BFxiLliNR1A4TemwUpeabbKnd2WgygkcZkCJwiQXNUhMaNi6nvzK7rzY1vMN36
pD3POkIEFJk+BRBGl9A4fevd+ARpw1COGqMoWRRgfURmRnSDxDbJbrbM+7jUG8E4buF46qx5m0z4
v3HDio2gCgtBkLVTI91/2pmkr/MR6Hfur/rDRsklYv7PQz2cKb4TsraABQvfv1sZL9G2iop3/mXt
+e9q0yK1AUeS5Uh0gytC4TSFgQM6CcPgIALDijodPqaRdIrYNWQmAONHRu4nvxk+Q9r3wWzhekZe
5PUQTLCLegjlakb5WePYANbxvRjWGCKGqM/DFenKc1D74BbSS0r8D8GowOez9RqZYXHF+byVfrSR
assgnYPLCibLfr4LHPotgupiDxkhBgrOz0htmvQjFJS7cIgflQn6PdIn90APSSWHVfQfMIF096AV
Bv7EyPZt1fRuC1wEHc8DYpK4pGn6KHGUQ431fXSnzj3oye+vfVln16Go1clkNdzaCBVaESM/SaSo
u9RFkEaYmaug2aBaYr1Y9xBgfwQQXCawmF0Gun+CKMs/uD2xmXAx4I38v3Xue52Da+Dv6xwMYI/L
k3xUP3eINpL4R6nDwStwPKJJjO3JJi9yoD86RJzJggBfDw1gjJPlbZX5EXie/haBHc9cmCzgEXlp
Hn+UuuQ3VExInFA4rXHMjf9Nhwj32NsOMQWKbFtYJKz78FuiF33Nc3ckBZm4pMhc/L/sncdy3Nba
RV/lvgBcCAdp+APoyO5mDuIEJUoUcgYOwtP/C/KVrySn8twDV9llkp3QOF/Ye206mT1T2F0c8U1j
Znk12HKGyq13p2nQq52hLsbOnYYbkEJYZMrirRV6FXRKt8/n2Ny4BgTKaLQMQjHixh9iEJKpMupB
zBqQjmwFpo5TcdOwK49NYLMoZzArq8sVSt9Ta4q9U7kIPJV418z1c+hElb80znlpZ74kVSb3AMOO
UcGCKRPmcXES6gthny1dPEYmspM+cW7d0c7IEEhue7X9qJuC4Z8ZPcnCBLiF8Yb+25Z+JpezVdrP
U4giGaXZi5tXzxbwJTfTTqOdPyhmce6Z3/qITx/LNlQBt2IiCAGYLeKuLNOtFikfdBhuURNte7WB
zNTWp9quXnTHuhhxkXqxSVjCZGLItMTHPnew0E9rl273G9ixsQcqniSLdoL+FzbzxnHKgb2unPGR
FNctg2VMDca+inWwf+NwGXMJYW4ZtR1ap21qNXdTBszUzLTSV/TlxgitT3pfP2TDvEVBWXhGVN5M
wtrOcUGFXJDGYXc31mA/xk1IrSjmFyvh1pyMZo3MQEBqLZNqayRzx1jf3vXtcttOpb3V4vw4afl7
vBQIWntwdDFr9JbWwWd8eJ1KW4c+be8nJ7pvLiImsIcbE6Qza0btRgD7NrEld9oGsWm/pJve6CXi
U+cltlitDU1JSVwlO87V0suK6lNmW1WQ9tzd9EYDXomUVI3AC8z7ZAbcXhTpW9sa70Af38dKjfZR
Iy6rDHeS1NWzKotNOufiyUA9EGDjQmcXrtvV5liY1iE3NbTt8bZ1omyrYXvYzNMEEimy5p3z9T5c
mkO/GaVym9TjZ3fJxtaHvJj6atvslgZ0rt03R6E0ut+Ieu9aVexVOgxi6IIOwGtnrysRGNR2+ogg
/wH9VoAii5UqjH8uXa4j97kypOHHTS/vGX03m8SNpk1mo8iYEZ362jJozIVAQBpmfudKjIV6aHjY
xg6la51C2WlekcHRgyrN98JGh+WktbY1Vu4ugkR1q+RG7qsoe69mvbwNlfiTEY3itg+LO3oKmjps
FoeaZYgX9yPK5WXYdEyDGNsv11XFN4Vt4YRArr4JbfMUF6oa1CpIDSvlDSyt177Xjl11mwhB59Y6
N45ThIfJqi5TiOJQ9uPR1avPokMB08zpx0IUNRi6LguUSckC1t4EqpgNtsIGOmW8KDtj9tPlVY+M
z7I9pSlF+7hJqmamKucykEX4kc4RPvLcnMMlIxDEUO6nWuxLLVbwx8RPSpS9ZwNfGb2suLZX1qVL
EQYVxnPp0ZEn5w/Ytb649AAE/XDdGbm9E1UZbQTSFog6S+/JqClPij6ZZ60sHpSkaC6TxP6AQSnd
2O4SAsiUij+EYeVHLcifeJRn2WaOh3+EJB83uY9brmZTRNqhzdMYISCfOKYIrIXzcluFtUUKBAP1
rpAMGWflzkCNF6g8khcvTUjPyPiJKIJwK1kcB1XTiz3awUkKdul4iKhUmlvA7ld51d2roQrYPKlQ
2Mhj6Jg64801kYipHOlE9aS1L5nLPmBj0QymfjekV8MgyS7oATno22QMS5Iskg4JYxSLX0kp/46M
Vp7/n9cEaxyb906CavX7omD9ze+KAszDSNjYdFFqrAOg34oCQo0FXgrbpgBgo8VE+1tRQII9EyEU
x98Ebr9NjaxfNLTG6IosVM4mpcQ/qgm+8n9+9ADrJkMerhlm5kjqfjLjdgMdAiYh5UKDk/p5dZCM
Ibwyt0qv1Ppqm9kz4QHC8NO4uGW57foyAZQwNtg85r4K8rQ/LK2GnxAVlE9VVNEBzGHQNM7IGrV7
wzL4hK/ntVab8zwYB8ayzqku8nYDXJc0IoMkr5ZdYpEGEabJ6SvxsjE+MYP1pQ1Me0X0uqoyeyC6
TY/Ag2d1sr9w3E3bdKzvC1Zl6+hos+Ch8QbFXtCqNi9iqIcg0eoA7P+4TfEPBk2lbMsmGxjXthTz
uNdESMvRDcUxXmwCvcywioC0ItMLwkm81rlU5lt0XY7cMoIZCwO5U189DJAd68nTNAFwlz6IibdL
pErL7aubi42uDiQ6we+SZAAgwkpvhhRijlvmflE57GDV9HNv2+/Iq5BqJyzvjP6Sy0e9ozUI5xHT
pzswVJqre3uC968V+muad/DA3VbnDGNH3LFAtsKuOzZq+dboMXhsUkyAuoJSZaRkFUK/bbIIyi16
k4A58YMK0f7rudNNnJWTKl5KUT0xAatYGkzVSS2T2cdFtaH1uzYiEN15dem0ble08TZ37eNkhi+o
ODXIlcZ8qKwU25dQD/RDyKd53dhsOFxDRLeemi+Gz/N5Rn2eHGXC6J5b1IhbLFRWuXdxHTrqQ+7k
ckvIU8Ig3r4SRcIKth+b5CnrFD3fgDe1rI02UhPq863aLRlTKmirEO4dmiz1PpLzbdjglFpa45o6
E7eovm8669ZM7UOYL7tMDtxRly6QffTQO8X15MqdPumzl6nEnKHD78bai1MTx2yRPoPbf7ArvNij
81Qo9L34EffTED0AQD61Y3LfFsNL0mt7bXLYUedx7VuNyRoAKPwkR3ML6UFfqeYnC7zuFR859/Ah
fU8RUsmW56bMkbkxjNHcc8gjRkTXtZiveoucsFRZvw75eYnCOzjD9WEmE+5kKGQ8DONbqXQYax/a
AVKr27i3UZwGNaKlsl6OraU9qW46BmmV7rqkpXBKEa4hAE267LUYAFIrNtqofrY9o6mDuI4SX1MY
ajTz+NENtWqjFqS8WctlVOV1rDrP2Oquqk5Ba73OFcw3o1ahiYTp/RLF16MmnpuW+AdTe8obVduo
Opt7LGR+kimXUHV3aVFehgSpW+yWbzIUqw4qPLk4njxD5ld5zo8h8R77offGtjg40XCSfXnFTy6b
aTKMIybd3sucMde3WtLPvrXg1L2Laat06N7RhzTRN6XJOqc11S8LLUmWyA+dO25HV25mh6dgOK+9
U56LQSg+NNvA0Aa/7419G9Uvs73qGwuiLEZhnRx9uHO0BgzqNJIw0BovydAeRnAEuSJDr3LErZFG
B7Q+tzoCNn9e5NmUI2o9s9yFJZI6t62ZNNu7xMmeUz07RWr3aJe1CrJFvetjEeh1fo7RhTGZfc4K
cc/o3MbkKT+Jgq+a2p6ZFF1PeTEcolkb1oCHfa4Tiujqd1wkx2oAyY0S5hpP01babPI52l/Q3wek
7eVb2ak3VT5eKa52paAz85pROYhZ7NVWbPuWymgZ9yOuCurbE0j8XZ8vt73M2JuRlGgY7dVUc8k6
1CVFlz9iAn7NxuSaeu3Qt+K9IyAJVetBM+In2SX3ptM9MEbLETJSuZjxwZbOW0Z+ilYMGFawzod6
e5r7EgeMzjdMG89xlV0lBLFMuXHv5oyYsEh7WtWg97fUnZDJFsf2tVlUV4ntfPl3XvHrvIIy4s9r
k/8rPn6u2t/XJSq/9V1dwvBV6KbD5t0x103Xd3UJRYlgaw8jiaLgf2WJ8wulikpE7K/2qe95Nc4v
usZMH9bGr44s+x/VJV+BKj/UJauxiq2IRj+KbE6s267vNPlVbS6ZOYfdtZobDxk1sN6ZV0DJbrOJ
dmlcy+RIRSCsiT0Zh+SWrqV0uBbV/TSESCTrBlXuSFgItbdKgKcf17bGd763yNbRmBmsXYnL3yq5
6yMnr7WDG7GLqOP8vl2L/KVk36xV01lpaACKElEPnhzFVzgKA3ttFHKJBKbl0LqodBE2e76zLZfy
lOpf0eRYZKKQkaC+9h+dG2HApiWx4pgioy0f4pIITsKRaoIyu0NDIxM6fbTpMrzStijeIWo8QSNQ
VsHNvqINUtZ+iFAD1vt0SIsZvTE0Sr2GpCK/pY0q20OqnbS1tYo/tobfu9G+qsIoGOWAoWHtxcBm
5pQKUxboS1dvalq2cWEsDdzq80Azp/X1iN6MF0TkzKGj4ZsVuyZUcaMsp4FecBLOq0lvWK1Nojub
JNDQN7ZRe5OsjaSQDlyhSbvOVpFBpA4bzQE6DW8a8H0UdQd7bUrZ79/pa5vq0q9O9K1d6WAxXlvZ
RIu1rb62t50taXQtRu91WAEhXNvgMBs1VmfOiZ3UYR4SNkxtjFmhZEDSMYlY2+nGAIridMT0WS60
CguL8iZaG/CoVw2fo+c5UqrUw4+1a9SUhEj7QbjLR21t5YuZGoQxbSpjN6j0GM4+lAKvpvvndNTR
XTVHQ+O1LEwIXIOCOQu1Ur2pRV/ekx7MA7cd4+vqehHtp4TwiIMulRsu8I9ulVQUr2QvxZn20jby
3EJZCBRHgA0ajXfmPu/Snudt10/cxDsn3AM+eCv4ilJg6rGfkeVHJzfcm8gMrgpHPco0/VAv7tXS
oGMxKV0QSp+aGWVKpzKK6aNQ86qMah5/3qVPF74+8iGOwrcmtp09eveJmV1xHy4AOid9eG4M+5A1
hNE6ZnUkKy9nbG8VW6crD1ZkEsupxkdOaowF6XLP3xxPDd5HdOtVxUbYav2vlAHycRm3uOuHx3KW
jiC0Ai0Uz12VMgZcsBR2XVkeO32Y/EmxbS+eE/hmXd77y9RVL5HKHrKM4/YmtUzXG5GTT+WskeJS
PDlI072oB6EsU1prvcJiYNTlJsxT5hqklPJt7/VDhyDdq1IrJmxrOKiLox4ah6NKI/TH4rl4jWWg
qFu/pQ7m5C7tF69qyr3okQ0qmAuqpQcCAmK9xh/AN030PhCCCYFLbLNH7oJeaGAk+BdFmDdp5NIY
yEdtSq/MdjhWBrRV0d5LmzHe0hU79t+U4gVSzjLTLnIaHpOKYSGT1JtCDLcZklUnm87kkr10IcK8
DAiWV1TpE6CYo5jUPZt1KlhL9ZoB/jHCcQPlKqGqrDVtta22xczIUW+nc9gat1k55xuy0za2Xh/1
AW3L3A3IHMPXJNKuofFcgAfdYM9kpyS7t5B8OW/Ilpc8ZhsiGocI4rR47QobBzVTKq/X64cqFler
umAjc64aaFFz9mRA0NsT1k0mMkpjfRNXcE7WIcW/R/ivRzg7gD8/wqGV9H+0WeWXfjvBNdanGCPw
dWF31q3vT3Cd/8XBCW/eRj2+yvi+CVLUXzi8mSCsm4DVjcfS9du6wf1lpZsBojMBu2vrPOIfCFK+
TjZ+FKRwerPPcHh2hLmCwPrxCJf11IGNiY3rbhIqX255wOlFUGFqGCynmm1l6NTw/fxsI28Oukh8
ag3n1HNtBeZKhkiJq2A2TQ4ew1+vVEu06WrrOQud/dRJUtCQjAu3reCBD2+zW36IE6bHRX6XiXRX
zv0Ryc5dU3PGp82MzbnWO6/V9FNZAF6JFPuxy1wSrNyC3L0xfMSy/WwCpOF+u0y+NRXXZmRca6O1
cZvqaOfNITMXBhgEYfhkaGGQi6cd8LqN7tRfyHi9G8bIPBKrtKvn9s1BIeN2y9NEKqyX6QwGDeAv
niWKMjDq0FcndsN2HT+N2vBKGoTwkaLs9aFCi4YLGXeh0Xo991s/qY1LVjTHPBMGLVP7pZExFhil
4o6ZO9dJ0VKZRM11asr6OBU9oIWEU98uiBHMkAb6rhqFl86qVCKDhgUzlVi+OKhQLlLYn5aEN7fG
bXWrg3Hw4q59j3vVPadoBk3Swr1Qr+ddXHbOdZfgarFXPwmRZRB4V48JnOQRtAtCNG7J1g63NvOH
1ZUiJju6VSND2y2rZ6WJkpwiCh8L0CbE4Ku3RZ3zdG+sfhdldb6kqweGYEPPWF0x5uqPKVanjDbN
LFdX94xYfTRiddS0Ra/v+or8kxK7DVmwVwv2m6zUDv3qx0kK50u4OnTS1aujrK6defXvEFI477AI
4+lZ3T3M5OcNHBB316/en3R1AbmrH6hYnUEq8Jo7FrAOfkF8Q4ZG+oq6eom+WvI6w1Bu89VpVCy8
0mZ1HyXs3rbO6khKV2/SvLqUFJA4MC5wLpmrhynS44dZ726GQS03sQLsk8z4t2pNjEtiovlmtDvH
2uVWHKEMIl57fYsSvXwdOzN9LOH/eB2d9X4eYCbqU4Q5KCxxrmKC9+J6weTA++4ZrTLsnZHhSjwK
imB7SD5nq95JTe1wI6OCRClyFAcz34RhySkLCYRoxxIxpDAKj6IE5zgRNgTOFblvEdZ9u2jTbToR
IbbqdzqsCgBM9fwCQazfA5n50pfLW4/yadvXdLG5m9PYAgzxjckK8raxDtbMHMBSbLlzwlLc6crw
lLhVT+RQPyAWj/VJgzM81J9GnpUNbB/kTprjrYibHdkED4StangLIstXpXsssW/AXJ01z5UDkccd
UfMw57BPkE5flspREZhKDONRcrz7ZIc/FE16tNPyZrQ7X1Hsc2e+hrZ+NVSWfKEsfh+t/jQJRcE+
B8rRGYfxNDDt37suk5ykRQQRZepJ59HiOr6SUnxpgCuxwyE7Cmy1J137aXFg4yXpQipKV3zu0K56
8LQOVTrfolwmcTUB5rbSCMrCQeyeaHhqZQyqYK4mj0kZonx+vOwQiNidYW7nmY9Qa4rrQYnu8yl8
VavhQy24PThqLQM7a6+SUfs4ZczKumzFyHZVtEXaR+CzAVBQrMY+6OX2wpYw7+QZp8rzYFG224q4
cScba2thlwdU3fxkrzKyynLp1311hYhrD4el9KUIt6laNdegZMmfZKxB9pMb9FP73oUolk2ZBKDQ
rA9kLBfmpiqnc6n3nyphkyppvoBfIdweaV/aLm8ML0GjVdOeF51vY0alHsmcQW7ZF5C5u9glAUcn
9jHD4urJStsrjbWfSdTEVcxCLVmjHosTmYNU8kn+1jvu3i6NCylqO0U0uwgkGp+pP+Ua/21+jJ0k
8btk+ALE9wbGYk8c2nzoVxMM1mgfX/MtGCuFs2ANZ5uv4j6/LfDPaEn8kOOnia1yb68GmwGnTU5K
JAwhPI1hxwAHNw567FOS+47aTV6HWwfx/Dt64NnjHFPmXYe10KEvynI/sso7NSGB6d/a6GttZLIK
+fPa6AkI79B+/P18Y/21b9URngQKH51NiQqsSfseOkCqNGUOIwwTlaz6g11BkD6PpWZ1xwkLfzUD
k2/VkcGAQ+gWoz5Kq6//6x9UR8xQfqyNVn6BRjwPAVHmGnj/Y200qUok27YcLsuc+Q2cjmi1qzmF
9937wlxvjqryB9Ku+geMV1N3QOWgQWaf9DP4V4N31VipqC/qYLqPBC9jJS6QVS57dHdm6xt9OYhD
14XLPdNL5KgWE97UsaMPdZU6RxSf7pVmM6SoQdVON/Fs3BlzJWErzhFuapmlnfEqp8ZybsawkXKb
akS3ScZ6nsWK5XpkdaFtkrqudLhp+UDUnBKxQ0+6sHwBSuNuTGdpVSRpn8xcjBdb1Pm1GNSaOMU6
y8kxCzlEVkGEkrMr9mwMVca1Ktewapmn122fQb6pCQ6L3RuO6Hezqz+XKDVCEq9t0qEBHuPYIgpb
V3kVsA82Ljc0t9iYU3EI57khf7hIAjAqQT43X2K8zgsh2xph24Mh7/M1KW4UbfrBZgpF85cNZ0Yi
7aUBZXfME/dcu0W+WRZqy1JRjC8CNOgepJQKVRcDSSHDBh+iQnw3uwyYBpeu7Bi4644MomShiCnt
x1lTXkj1agJgsKwU+j7C9TUY5HxFzEqoL1VckmL9Ez0zcWYrj63ojSmwnDK+6yKpcDvT2o07qdOL
yEnMwW1Djl2XDdBslHYGO7TcNVbvHGNF0y5/fY19xQT/MKpz+XN4XpnS8eXgsv7xWm7mtokiliIX
1hQfx9bT7pd7ID9EWvT7cs8QIg6iDXHSm3ZDssRRbI2Nvg/97G+u9Z+UnF99ErbtsEk1IVCBef+p
38A4Mw5RB+031KMjuunJz8gC9upREIZqZ+6mkaGxbbmFA6hw1HNkt6Da+YysrCn82aZrD9WZ3NTl
tQcptu10mpC+r5nLLa+2yfIxRWCBsWR6bvIaI12LbMHuUiPAVqt7QN8L5JPTBvf7bkSqk2K2aYQT
MkBw96sWYNb1HUGpmtcwmPcSF3JGUe5ZEAWVIUihVGsqmuikh2jSocZrgayTVQTDvEGiOJ3wHjYR
mYIkqz1G+Ao1ozgPk8N57NQgCLnQbLcB7KSm93/9Ef94E/lvEhO9JvdLi3bSXe9m3w1j3UUf3boI
2wuSm3THjSDnxauIkfAVmBVjONH8XXTsGiHw3R3y94/506epTNJuZRZ1F9CW2GxaTDdRFSydDWVv
OFdNCGjJYhNtNyQk5l2PFqOcTwudieco5qlKnBcVGy87WeULNI5t3TSkkVq3arh8MqPmtRhJ62zK
pv41Y+VfOYT4y3kFcoj+43/8dlh+fyyvv/ntWF6Rbg4HH0pH978H7G9rB/0XhqfA8P+n+f4mh7B/
QUv39Zr4NSCCeca3Y9n6BVM9RxybAr70KnuMf3AsM+n44bLjLzk4fBzwNRQH6+ji50s9VMgUdZz6
upyQyGmzBVVMz3H/TuUzEGtno6ftOnpsEdFlNkY6sz80pvZFVmpBLV2MxxEKMd07pvheHfYRIqW1
EED+x9SuKoklXdvP1E7fxrBFRYCa2ZMl6zdO6nJjF6bDITW7N3FTPJotq+ZmZFhpZstphvsYRX2F
3us5TI2HokjKa4aa7DjX9fqwLtrVSUuOBbv3UICByVz31skwwyHqfEf1MGwjTHwPZePumQ1dpTW2
a3ViuN9Nd402Xk9VnR9ypblIOkHcITtT7VJfmtOpsNv7uONsaueKzol0iqg3cOu6sR9G3ac50Rih
RpGkcZspKpJwFyXNPWrlbTwJvHbc3rq2TQ4yt181DenbOI0XVFhsmBfyWyby1EFm7OOKu95EHist
I2F4nFohbfDeVDTemiGRV3mCEKAwo4tbJ0fXyVZBAKdvr3xO09z1kqYBGIPEcFzGBEkZjZIiSbxF
PJZ4A9a+IXduUEuSSdxrcDLTmsPWuEtr+67qPutO9cXmzw2kffCn8OHHWvcxRujgdyGNmLB7ZsMG
k5ya8bOB+bPKSStFgpj41tytmtY7dIvVTVNo52ZKJxDzWr1JTAoHnWt4t+j6g1i+qlLdgLvUY13O
7rGR6T6zCXS2mvACmIQSKcxg8OZXGHyoqqqgzxmAjOW2mlgZaGby7IpOkF+PnzQEIRq4ebNdEvs8
N/OLXhVbUcpX5O71oTDkHTfABS3a+M4jQzM1cvYMjXZdQn7wGm2+SSfHgFcUn91BCU/SaN+0NiS+
kEnZIYnQAMZKYW8a3AXmZi4ZOasLIfEm6NpU1heKD/tYR1V3y/AelJ6NycDlDWoUVsTOZ8jT41Hi
PYAosW1rPP9GuJ1NYwyMsP3gCjbpYqZeymoeAu9VPWT7diSabDB5ix1maUoRL49GXWkM7OcRDKF9
7zTWFSjg99X5H2iZeZdjlb+yYL0uBZkS8RiAYyfpzEKVDNngc7rU7qGv7M+Tvc5GHDQhpnQ7FA7d
bd9UvMXtOcxUJ7DbsT5WduszKqF+yQTJDIvgCncQDU2oZasJeSvglZkyN/yS1+FNTlZLIArSKGQ8
VL41QAoIl/yq0Ut1s6hWg50dMbRGsx6WxzHVu4Ag2A8p0kjUwn1/ioWino2xNd+ZLWUPlcqyCZE2
YkQtj5mUfT3J/z2d0Mb/RccYvOf/uQBmfP/94bT+4m+Hk/ELaEqk+LSL4Dwd2snfDifBcFxHoS++
uY5+m6gza1fhK+HjJCJB1Q1+67+HE+FFYKRt7EXreUKV/I8s7j8fTQKHEqN7wQnpGugGf6qzyZhO
u3wp9ZuSAYqaJSc7ynxDzpvv3pk/6Bl/DUH6X0HPK9Ex/rDGx61APodp//RAkPsz5onZeGOaECp6
QNFiYy7DsUgg6VY6ujJltJmS9NU1SWmnJqsfbb2Fa83u0h/h32+yVsuuZGu6AaRHQizmHkGbWa+O
qfZl7OraL5wYiMk6CI+7/L7mATF55zeVmoB8sEuIww0SFwfes28ww2XI6lw1xeS7rAD8ErQyp4PF
8Dgrt6Eltxhj+2DAsxR02USvKp4Vxz67YsBhrxkvKGUqH4X+PQrhO6WYLopiXvpElajXGSxhvT5A
gr6MYUGn4mqPfOPRsUVSBvoKyRhkfwtQejuK4dl12nc9sl+jYv7Qrjr5bLAhsMxEhrfhlWUXyRbv
2t5yw3bXxZQJRts+UlPsE0dEfh7HVyxe3soxzrayUGvglnic8mqqgXmt01yUylutX161olgZo+m1
cMCHzhDKlNoIGit7pdd7bDvQgVMxeJU23+HE38G83SONV1gZQPkfhZFwQnNwxbp5r8x000XPGWu7
r26PRJ3ecQA453WDyDwuiMABQcTnl+4QCX5xZswCqmWeMbaaB7QNqIcB6Wh0SPoIanyG3DPGWrLN
tPwGsne6NYxxtxTiHEXg9HpN7FzJexuPNDIY9WVQN+4roNw9u507GGpzYCzdU2Kxt46gPHMY5/fd
OBxo6mXQGuonAisjLxrnpzxJzN1kLNf6xOK5i1MJkLr9rOX6Zx2BGORCbV/l7gFligYtZ9yx2rkt
iOzAjmudbGMpfSsvPy1p/RLbXewXVvUApyYNRGNn+3EwdrY9+jqHEpNbeNNcYizDOZY22hQ3H8u0
itrt4ijI0EwLMoOmTqjN6ORaCOdibMpAtcet5ozrmLadjnlusomdNV8NEYYL4/OouofE1LZywSdA
KlAtnzLTWIfJo6YusB1W/AxFW5Cl+sFA6K6xl+lXF4TTfIS2dKdlyrvj8jE1EFQqrkbWBxJqcNez
eR+Dasy0g1KYLEJGeXJa4EUKuwQzyZjcdjJhNB6NH6zU7jZTVJ+jRA39jnMYtQKA9+5Upxjy+m4/
jv0L+SVo2AkXk6kKB786ZxZfWaPMbpCgXOWKclhy9j6Q7eLNMs1s6GTy2RqRc6VjCsht0O5IXNhN
Vf+ewWGiY2OYbtUvY7tBHnOIRQt6X9nPlg07Tn1dTGZfjKI6KqjXXNzLsWOtMRxrVLi5gsayhDmx
xZEQu6JHNW9sRkPspU4Pr8WskJZa7gwiWreqxmItkuK1FBrxB9UYhErbYvird4NWXs/V+KGtUhYs
s3giN8o549oWzcMK8Y0c0YZ7Chct/7vb6Ipl+PEuynEhkHXj9mI6Amv6h6YZM7whwtmab0amBJ7Y
hcfpvjofUkJ9P5bP4OsODLG98ApW0BCku79LxV774989vGtz7rDlNBnp//jwbTiYUrGG5UbaH+vw
4BIm7E6vSvV3I8Y/ehxd1daZqGoJ9esA8vvZQM+ZlQDav9GSEyFXXp6/u9GB0Lq/G+/8wevh/eQM
pMmz6c1+fD0NFhxz0GL1xjKvWgu3J6YM8fzXR99X0uvPb9r3L+anBxliVe10fKA3cts9obnZyL36
2QlWUdO54Brz7toNq9mtvn+8OEHuXeQ52T51m3Bzmx5Hb0+zeOoDfjCotvyzefrr56f/NIjhZNZ1
oass9U0DVtzXEdh3b3ZOWBDQLVW7YX99CW/VjXrWnqF34uzxh2D2jh+03eRfmu24N02/uAJDdsti
b4t31//6VP4tJNcL+M9XD5v8P0HVoq78g0KSX/xWSLJhWFMmVdsQnJy6QwX1WyEJEYSPEPe6bv13
L/FtyuH+Qg0pqDx1TCEUmt9NOVaTqM5M00Qvh4mQovUfTDmYzv7wZVqnHPwd7kwqpg+b5cBP13kT
hRM9tURdiQtgXOVVEp2VQunr2WnX3hBlhQiLw/LFFHXvu2beeL2t2OilkEZ0iiyPS4SkguS+lqNO
PGP5soMWcptfa7q2XQQqhGINnaEoav1eDNWmCV3pN6tsLEU/RlgPMPvJiQGe2Y8uGjNOlXJrLegG
bfRnFCXRvkWR1ifTczgCH5Npfd9WMbo+JXH3mhp9KtGzTUCPWbFfKjVGxrRK3tQ21WgxcSrU6OHy
MdlBjFj8CqUcbsEPYa8fewtMR4yWTpVRvo0agpaGEXkVuoM3C0D+vl9FeO1kzlu3mt6tynpn8JwG
bN6HoEO7507GS6lX5bEe8sqD3/NRl/FtvAr+eJqf3LK4zhiWkOxu+6BLquppAgiHNUTbZRpWchPf
OIvUbVSxcAxxti1m8W7l2mZaPeZVXu8ErnPa0bvRyqI9tHsHYp4JxHdcliBNFGszKNO1HY+Gl+Bk
T3C0y9XaLnStQjng0KWuxvcUB3wux4Nh9a9E3ZD1YWCSH3DLL6tt3lHnJydnz38zdQye635aWBNz
JLqnWKm/LCuvI2SiselSMM/VtM5AlnzaFQl+3CZJ3UPdzPGtkemPrEwR4xFgtdcdECpRZnxYVNur
C891h4fByqMLVML6uKhFS3CJku1rs9qMaOQ1fIgUGQ5KXAypmDOSp9WoyvafUHeQ12lgREj2a6ue
ArMil01RqpsoDUPP6qKdbrHmUZDBjikS1oHGKLeOYih5i4kxCNPpuTaTz7ZRnELoqHiaGoA2LdHF
tjJ8FEWHHVEYH3CcvFJew1WI7N3sigoZcLrXVWyuNsMbeE9bRTdKRLTO/7N3HtuRG2uXfZee466A
CZhBTxLpmUwmTdFNsIosEt6bAPD0vUFdSSW19P9Lc000kESXiYz4zDn7bKciXY+Jg4w2PdmBQzge
syVC+e7zufgUiz2FPDLYsHhx/Colv2nQkneYzs/SYKEfjXdZ1J2mQXvA/fzacV3SJHiruteu6pEJ
uxl8G4vkalI571ZgPIY5VMOoCR4IZbvqEl6hygjZoVTUrakLoduwXgJHfbMFI7gszBJUlZTUhHC9
tZZ3p5rkHFZgyYJFgOwMi4ODDR5/Sx7Et02rHwgN9cETHUOkv72tripNvoVT97i0K2EhEQnJmyie
92aTryqBVjNtp2cJ2XiXhFoOtozNN/00DIlaQ2S1KBkCgsUWn9hz0+ZH0xuuU9M44MV57AtUNwPJ
PX5tqkPVyCUucNEfadkdIp038ufY6KcZthrb3S1JNRvW7u4m6Mp2Q8JGviXqZT9bGKWTKk+If6r8
sUUcaqBCWk5cTiksLak1XMqeDsSoO7HtcQqFAlmsDhZS8BJwJt2ak32d9N47NjueLcf+ZtgWOLI6
8c0eUckwVaQvLEdcE80QK8S94RXbzImwKldtvmpRhHm6zPY5/l6WrCxw8872bZ63fg7vdWG9OTnC
gdBwr9MhYhwaatqW/v1Od9B11WGqE9zkvBmkgm30IoN3YVdsjhjV5bEBUtydtinChaabg/ukhsgc
N/pDEQ8FjBAnfq8i7WyTQLQpW86IOH5S0XDTeNGe+fEnhi616bCwowgSKLTqCrZZK6HN0TfnTznS
txBbFTCfzh7KjaXLK+k2D96i9mwW3SfZja/lHHtYxwdz1SEODQZ0nw5yUbvTan/um4sVZ+cIQamJ
sHREYKovSlOzaI7ZbGzS0GKM2slbhKXXvUc4m73oVBOmhy7CVaERpNEsWlap2ONgX34wkbnGAekp
yF6TRf+awoDht5mfvUUaW0+PuVS3lUouPA+8CIhoc8S0s8Q02y3askEUOygGPQ1Md18gwdXt9kiW
4JUlxm+FgdUOqa6NZLfyrILJIp/qRc3rZDZt2aLw9ezYQLuD6rcQKIM5Y9cqrvYFwuBmUQg7SIXD
xAZPsqiH5aIjRkyMorhKDvOiMdZScr++VMeL/hj9oXFANRQznUWdXC465VSwelSLdjkcGRMsauZ/
q7IvQYhJ9/T3Vdnixb3+3n38RVW2fOGvVZnBpM6lJWO3Yf1X9/FbVUbcsgEIHl2ISUb5QvX4tSoj
M0gg03BtaQsKpyXZ+dfdk0PS0NL3ICX54nr8s6rszzUZJYSB6VeSWmQ4lAJ/bHDaXvV1jkiOlJtL
E1pg2pz1Ty/KX0z2lo7zD92NgCBNJyj5C1H6Wn+q+gC4pWbv9P1NayXH2HnUxI0nb1tmDsFFDdg9
/7cWeBl9/o8/cfmNfupXDFQBMTGC/U1SMQtwv3YD09eeoFxWBqopXSwFsjrby0Khtbd2QrZDHYyB
3HR552xQltqv7DmMg71AbCfg92u9ZZNmutFJlsRbuEbqwzr+MWjpJwS852LOL6XOEeqUFsLfEFAJ
gngqDCPCOIrfBnFnHLJxsHct8ZJbSaIs/Mm43AXTiNh2ZB7oNL1JmiNiY2BM95py/aqP76CnXJF3
X3K3DietDniXgL/l8InY0XVra4KwZKvbYCEjBBo8j1K/gNYmxsE+FAJLb5qEV6TsoOzQvjUED7D3
ex1m8zI60X5w5najU5zFHXkNFUqNGF0+paPaalXT7ogfvC57B2UF4lzWcHJqi/sShv/erpkgoIDd
U8Zq3S3iFf5FnzdjeZOF1qmjmz6T24Eit+3mdd6bNYY992TbwPqt/IQD9zCm6rrxgrMm0vM02096
5qES1hY8KbmMjRG/Qy//kcGR2yhpXcNjOBIyuB7S6tQFatP302Ey44uYa78I6nU8TidFVFvvArXu
CBuCZKWu2kE81b2xsSzmO3kxf5MZWuEAz8057otLkXYUpuqczim059RZjRUVedrBkq5HTnzwrWIF
Do9a1PlWdxPzIU2EWyOv+kPfqw6qvkFSS1xPp4xE7i3qO6jjPzxN3ViRe9f2rG3hmzBIihqCNfNj
kMWXvtDu1VBsI+yT+JYA78d0QHn3w4mwM+p2cotPaeP1DFqjUV97hr220HJ2PQf8sqizlbVTzbAV
IA87mxpdF+uyLO/nwrrkAcoENaImJsR1uBun6M5ehoLIcdmKPVsM6EZHNg+V0HDXx81ngRk9D7yd
qTA1zwH2dGH5ejp8CBVeFb29Rq4MBcbxDgRgAms3440NlUsPwksUD9eWTPa1zHejkJvMIRN0DK7a
ttw3Eh/m3MGk1c5wiNYGBlEOitsJezb+c9Gi+Q22tWc+Wk3rG3xCiCHBuV7IbNqniHEBXBTbKg7h
p07aMW3nh7ZSEUO77hw3JemHhJ8kA491AJ+7d43vXp98TxwXkUbGPDEhJxJDLbCbVuW+DAZ3/++l
93XpCQ7ov7/0tuhri7+48Zav+vXGQwSJ7k+6LKGIEBAWI4rfbjyIVAC4GTX8dq39fuNxzZE48AuW
+Us6+euNJ9FH4ip0uEB+YVP8kzmEs4BRf7ofuIn4xCx0DNQbpDnJ5bL++X5IcwT0Yxc4Z3Dsx7Cr
h+K6U8Zk+0k+VBX45Lifd65qW+KG8xCQhBdBwSu9AgV2l0Qvo9nek7A7raO24Cnr+h3RY2uGz4zj
RWGw4QUHXHrJmwnYh+pUxptJgyJQEH6JSaZjOUAkk8rvsIQ8qb7U09sOT8Y9cv29p0a8oQHKYMrX
UMTaOQ0Kl9NogJqZa+HLVHXRJQii2L5E2eRcZOGyYbBA9psru8+AY8ggF8WD7WhE6lKcq0076kFH
ZngbxY893ScR2ql6Sg0vwgCTlvs4SpKJvrO5Jg/4qHp5J0NrQtNcPIo5e+gtVN1lVL0bCxDLjnpS
8WaCbDrgn7r5Fi25qI1mne3egHE1PvZcIr7JFEQbtLWWU/eGCwfKqip97U54KdvCsTa6FT2BHXJZ
jqSQeeQ93vubJKlIO9DiH4bnPGCk/xBWEm/anBdFut2tY6Y0fHCY9orvvzLCKn2dTIJcMY/vxcxi
ol72S3nmPtSZbmzLIgUoQuY254Gxj+AIFsPQrBFhHczITFYyx3dDIu6SEJUWiGxq4pvFdDQr4zYw
+tzHpAglyzL2Zcp2xXBT5XvTaBwAXrAZ68UPUSKp6NucPGsZwLoAXVF438OovLI956o1CWKIXdT9
5uzdOwEid48Y2jHQfkhv3mZiPAArPIcNPgj8Peuqme19XizZdkH12ZWsI+xYpfBF8ncVeSMRe8Uz
j3QHMX9w9vYy7+LxurV0iNSdW547KCIMSxAIeOwOkaSswki/CyqNQS1t5EqMjfRx7LSLB2gdyfK5
Tww0gGF37HgHu7bfyjqKd6NExGCLutxwpxzyYboZa/mkt93Z6+KHpCtTnyP8MQ+juyWvd12JfqeH
tnagUzFXQ9TcTU7wgEHhdq57PiI6OYQTGdIrL44ngoGCSx/M+ykLNFLKtPem1qI1EoR0N0k6s1n3
Ml/1ZDGGsiWvUVB9WdN8LCvnJiFhelu6UlEcFaafQ/XGUKNOYMp+ZFl8jHsXOmUbX9tJRYyjcK6m
EmOC8JYYG9JAdD4Aa260742o1HbyuhuvsZ4HLRI+H/VhlUy57Ue9+ZlP3MVpVd71c+V3vUMKRg2S
1lmS3IsSy0cKPEXNxV6zeDqDZY7RZvFHNhkzHaHzLJW8N1jcHYYyZdXaGAdmo+YaYD2AdAxONqZH
X+SWtVV1chOHNqjO9C7PhnMY8WyraPGNJ+kmzr2LERb11s6o01SlWMc2xK3Vhf2gdEIxRSM+A8N6
FWb2jrLsgHKL5jbsGKJpxofVao/ULp6f5/ljjpJ3Y3j9/TR1+i6285dysq6kVk7c1qREtNbRsUYb
+IRbOXB0xORPUf1GaYAvWQJ3XGzZvayvbW3sQN8wUhzmt8Y0XmrXM/eeIGyi8pzL3A/F2u0ieGUN
BiWbiIyVF03vODvbg3C6+6jocDBUIttPopzgRYPywHr2WtnWPRU4lHFCc7d6H6g1wdgJYUVVgdFX
nAcQahtWmR/DTHhdIRmnJMawHoLS2adpASdIs7KV19dkfQjGlPiQ3tkn577eQvYUgZLneJRo39p6
ZM9vRGvTqO9UQdc+uYDzdOQ8aVyMvE8xXmZzWscymdZTElXXuaMOUx685sVIxgxV7AbGUrgaTZ7W
qknebadg9Bgk80YWwTa0zGlvF7AwysraplD21pFjZ1vXZdrJeTjviqR+bVy5LRoND0mwK5lT3SIZ
s7FVUxBOrRIr9ubedtQKck7gEtzahVFt0VEdkKeeEicGDZgn7o7hMH57hIV+MEzTMer7Hyk2821U
debRqEzqN5Q/JFuEBYl2FMGzynlvCN/bSiCIK42J1iqkvlvJbjiQ2M3KWXcJFpGERmfeMfDmKy2e
cyLLGeoFKeC+PFhjWrx34byc5pbxJqXrIlmYLlUfPRQG2/aUHmyLlR0NXKQ1fmJ273YNACdHA7Mb
XVQbk05SLMpnBIlZdOliRCbBLNYpTP5dVc1XBASdMOivCTm5DKSXbsykBvLMYH4VO83Zk8m7CyUy
awOm8I7HbNbWJHQDiRvanTaBHbJrnWtEFUI9Ag36XqYa2qn4PsWN7wtWixt0lfaqsaqPjPyVMBfg
S0yL9KAYUHiPA26tMvFSxTRwQx+fA6+HYKiLYa3qJvDLIL0qXNKIkjEJH+sow1QfvNhMEFcGH10n
yz+xDL5IE1la1J2rLwlAl78H0vA2usc+HhX/Y1+6CFxiFvyGpt3OohJrLYuvddJiMYWmVxmud9/i
TpXawAGm6x+j2+IQCk5uMOU7ggmPuPG8dZ0SUyeLp3xqzmNhwIWc8hy9nOXzhh7rVr+StCZa5X6q
kZmpzdqgqLV90CYfKF62bV92u9apNm3Ff1Wl9igScZrDqzxhQNc7AP3Spch+IyjcrwZI4knjHDB9
Lk+NG/qt3RznVjGuTHl7csbTCfuOceZ5RnvGLNiwPkwgxSvGIffkW/A/c4APOW6mJkNnBz8WVKYb
76jcXqnADvFYbmsqHYQa9nGWZe73VXxj1+4q8NSTbvLNq7EkfDi5SlnV7My8e7dAf4Zo3vwKuJ5w
cgCDxaNucuF5RbiTEciwyTXPyCm+NYp2omrh22pVfali7zQxrl6bdn3Xa/R/TiJBfFv5DucYw1gj
2di6Qm1rVvD4oBBvsbuy8JhRtcAlvc+Hemm6CwKkqDtXbhYT7otqs7Cag2NGRzUlnxEqym2o3JtJ
T3blvGs9kBjg5qdirY8nV0sfyOZD52RZuY/2a0eDAwYDwFNpzm+mq7a2Ct9cOz5ZRk/+TyAi3qz6
O6QGHH2GIry+EkNzxcfnIZzYJTG0fNTxDIBOXLlts3H3ZpjtDTy2Q5euF+r9bWE3ObyEIrYhIuIS
0J6ioSyFDyCjbY4IXRSCzVgtNDJkp5DJJt6dQshYW1sLuCz8Ypi5XnosgVWsRtw3Kwatu9mjc2tg
n2nIXdfFgkOLrXJt5Wm/DobyGRfbvClcIOvDFOrkBCTfzKa4h440bpEwfNYQ16zYkVjedP7SuNt6
0jtEjvUd181ljAnui5xFKxt3uU/d1fppahHTrGgJgZiNXCcTdaFY2lCuNN6/5b2jNu89MgS86FQ3
EKIzBjtj55yHLr7xeueEvcNDvJl81wkwaD3rpM8T1U1ZvXG34KzOMj8t3G9tHFvHrhcfczAUuzkR
IFZpMK2hvwChJTA0IqeJVoJpBrJQOyh+NCrfm0xKfAzG8xZg2MmqszsjBUXfocyFQ6T2nLsnD9+Q
M0kuO3y7+37gE50Y/ECII35qZS1sI7RKLXZq/M27CvcOSrP0Na1j34pu0mqJcoFZN5oH2eDm9dzh
rLVFzV6uu8ll8gOPODoBHeruFJ/LUJwlYumsGM6WcWOzn9KId2waLTwOonxKVXjoovilc7pvlVcy
+yDo0iV0wHbukQL51L3nqTZe40rfe1D+t2YeHubJmQ9Jn73yC36Llnm2Qy24iboqvuJUeLXycnjK
5wHOfp1cjVEK4Bf1MuHO87UaJqintv5cDQKxTnqryCZIKxeEB1aLfPJeMlmeYjN6yhWLv38b+q+G
Xqf//fuG/lBMf9HOL1/zWzsvAUaiK2Bl7/6pnafTR7iKbADPgvPFbvhpgG3Z5A069pKQ5OEF/H2A
LYkkBEv0XwQUQqV/0s7r9h8lTyhgl5jn5XfAkWYiUVnkKz+Ne80oq3SSbrtzntrRtiyzeD2WueXO
t2jWZk7Q2IuC2d5Y0SAi1iED+bpS7wyd9YgxFQoteGyinV6meDespSWnjtsrSfSoPto1ZmGZReYO
fSiDAwjxWUyomBYkg7HWAq8sXucGAfaFEbfXFGsHizTYEilVO8K8q5P2uzPDOp5ZewFI5mQdG2Tg
WDCiZpe0lXcd1SI6hHAlGOgq61tdkuXnsluq+xJihJUm+Vqv1XAFHGfa0oMXZydL+zvdTtWbKKSs
2P5H4dtgNeM2a0V+gtlTbpB0BudEk9aWTXBEr6gjJXJxddxCDISy1JfqOi0cddZZfK0b+s1SMUng
HjGa7ziYWz/ruGb8iGLlEMmkezAUhjVeQfnuzpm3G6JMnYAxkH46x7uMYN07gnCBwCwNedYLDGau
jkdZdh1dHhj9c4NIYpuiJ4Zgr3M6ti3qABJ+yYKch26PuYrVlF4hp/W8yHg152q+RPOcgG02euON
KFN51ddteJjwfz4Tq2SCpjUoGisvXM9u3t/0ffrOS1ocalKN7vU2FpmfIKO+thQVtYS5dZ6ILCSb
RsZnCSh054EM2CSz557nOpb7nMhjWnxyHiMznN65jbIT28L2sc/LHuZvUqBDiQ0QdvqSmBK1KT1k
wJIXL+qtTrzcNq5lezHjr0AZUV5RYw4MRNMjpdqMvFJzt7Wcxk9lRdnerfLwOGJl43dLHO06DmyB
3rlFNlxONKxd19uwldxiV4U0sRYyjNUoG3wis+EFRzJe7Ef2nE/IUIyTgR/vhl8/2GoA/67Zdywo
vkbcTHOERJR8wEMYU56UiBuurbaa7qLGVeuhVfVmivtxEw5zsG3RyoS/bID+VW0JJod/f7Luso/i
L9Kdli/69Wg1dHxkfPRg5nBWfs08f5uUGv/xTEKcXBbh0kDS9ftuEJkXVlPvN8nWT0erh/Tf4Hvx
DwSL//ho5Tv9cVLKzu7LmsaKEI8oJ/UfjtZiah1j7F3vxsgZpVMQz9Wu+QrjNLUiMjYyytvgFQlE
c2t+RXfmS4rnTJwnUeunpvDYkuXpW4puYaING4wu3E6sYii8zWxcgkvnQzGa9aYfvFsGgJ9wG2Lf
aSCX9cZOA6oQtjFToHongC24QBfGSttrcfYmGwzaTlKewkTdpgunwSbWnUnanj3nXjBIBEeifFgf
Guv1aYfF4WzQW8YL/UEtHIheTPtpIUMUmv6W5LBtAIsdGtd5BnUBXVi9U2leE6WayQVXYr94sOC6
hT2Bhuijmdx1ulApkoVPQYBkfTOjtUBhXPjGoO9rYBbDQrVQC98iNbVmUy3MC2G6/LUFIVhtOT8x
i712ZygZauFlNAs5w2DYGllwacw+3DYLXUNvQlaSADdcwBtI3gZWMljMdKAcOXCOPkmYp5Q340Lt
0PJAbvOF5AG56KAWtocXcwjriLXXQlkDbkEYIAQ5mWumirkPsgk19nSbS6KMQgD3BF7+mPLBXYmF
KtKUAVotBM6cht8J4wXrpuufnaEddZAkqptOycIoCRZayfDFLVkIJuXCMpkWqskI3mQGc5JrhXrm
/bzq5Ouc29cW9wvMdPAYyRFY271aeCkNmb7tGk1zHZ00o+hpEOI0DFdVlpURZPMu9erzGErnkLUu
kFU5RABQXRTu5Px61wb5oEf88vB2qSoPvC6V2FgC5B7RK959ACmEJMRJH1FUlQxaBzkRpdVIK1tn
/Rju9KmMkAEWjXHCj9c/uaXt7sEfiud/C82vQnOxtf79cfhSZn9RaC5f89NpiIeeWlFnR+RZEjnE
T6chPqYlz86BnbhYmn4rNJesalQFDiJVJi/4Z38vNNlD6aawXdPlsGSs8I+y7liQ//k0XM5CyzQX
EDrWX+9PpyFLYXLYjGS8qbpAW1Vuh7uueegMwuwTA+AvKunyIR707Mbo8vy+7YNmrwm93/dzoDN5
Hmk8y2CZV5tnEysUIQx4iyYn+TBnmwxmaoWrqB7evF4Bv5sQn6V1Nl68MMS5lBeO7/VB+WBxZjSi
xyvJzGeIo/KGpx95oSrCO4SE6JHQ5nOZw7Bqdf1bzhRun2Vmv0tw8qNmP5iT+xDWfbMdrcTACcRQ
JYOx5YMsedWErdhBuY+AdONvDNbL64gaedvNpDxpKcALZGPGTawTKD2KztvX6ChvQmWggcu9fK8q
hwC+0CQSs5g7Mo+d55K9LcsfoEoLRaevQWF52ouScJc6YGReKRlPRoQt9xYLlFBsjHA4po12NZTu
I6/mNTRRaKUdaInS7nNohtGrHKzvo404DO3rUwgVvpFFRjxdiAYijO87oiEIYNDQ+hY6wcVhuE9n
tkaanX+YIR9ybD1HG4XBqpsL1IMySbadJsNtFDBzLeT8whtNHWhX96UWnK1senPneG8GBE5Ylfkj
mNoLbfVwIiwQVURHW1wr98ySB2t2MJ9lyVvaoRwFd31Jc/PNMJunWaXvWsBSoowIW8jGG1sx23Iq
vUP/yT6cIJsDhYD0OYxIvQs98Fpu5xu5tbeZF+C7cjelYwaIwKKXKpxvod9dJTVbHW2cNVQd6Dl5
PmDIuSCibsxJJOabYBM6HZyO2amDW1ULrJlblxtlnTEgYIQiPzRqWLYm2JW1CSU0Dp3AS+S1GDJY
nzGaTok/B6vKiXQAQigGIlICoUPXkMzqJplu3FpnIqbNxl0D1d8f3IYg7zB9r43KWk1RPLHDmNCi
ER4rBDGAdjrzIoNiOWhTW6PSQJWo+ID7gicVCvxdVjCAH2LrMLo0SlWai4ciClq0dIiGID2hQ0mY
z3l2vsyCmdEJNIBT8DFNxj7WXAkxTz40XfBqFAUBZSmFguOd6R6yg6LIWeWqFyskeAeNtJIbpyOh
C8lQh4g8trdjgycoLUs/6ORJxET0eNilfcFQucn6+MgtcVVbGSP4MuZd6rhSzOdWD240FW4VZmdQ
cfGuq7kWfS/HjYf7ahVO0dqts7cok1uX/o40Q29dVc7IC5u/VlF7HB1VHVKNiJcs1vWbSGG7C3ot
ukviOjwWlssW0A3OQw2iihjfjTF5CG+LgeccnAeJBuPtpJPNjVYpPdYTLLDeMIK9IOFj47altZtC
hptCq1vU08VVGAlnM4W9eWztcD7Wia6RVlKLTVlXtzZS3u2cTkekLs+VlpsXIyGJiNMvPWg0KzAD
q6NmLkEnYbBh0fZSO0n42Rb5mk15b906SfIxJ3PH9NMzu2b17/35y/3JhfL39+dDn31vPrgtiy7u
psOP//t/9N++6tcblLRszyWhw1yAOKjCfnKAfOGnTOEyJl1SPxabx6/KC/s/jHYcB50hbQVaQP7T
78oL9IE6NyfiRVOnU/knoxrmMX+6QZdRDYli/A469g9PcPn/PKoJg1rUBZ30eSaRaTXG/WszMYVP
0w5I4JCtpyZ7QuMK8b4MruOlPZW6av2mGC55Wx5Y8WirVhrskYeaXLCYnL/kmoGjYrQb33O6/MAB
mvpaOThLMlhO8INxXc51zpFlh37eLoQN8aRm+9VorWevRo3sYvTbBhltgYfZNqNq5TCPoPU3ZIqF
rOAJcX6UbvFaTeW3IUKuW3ZtReiE/djUHe1L8dTRgwcFJDfbuUEgdT2k0akr49e2hK0VsxBtTPme
eaG7yfnD0DDF9s4wymOvly/5JKaNlZiQLLqFypWpveupb5NRNZuwU1vLQkVlJHzaOFcykj3cH3UE
Wd/N7FPbZQ+qmFPfJeRBpu4de8MfdetdUPFNyNCxs4olwylQ6uxWwzMih3dE7S9Bbdy0ZfFuceUD
FW1COhLl7Fv2JWHloQdpV1YSvmZGN2yqzK3W+EGylarKd6V716lGrcOSSeEJMGfqfFaUcT00Pgqe
EzfNsbaCUxFm6zlmW4gPcisadQw9bx8a8o4sg8/YSj6cvHkw43AXmPNzHrJbFMyiXN4kTzB4U4qV
tSFIYjOWyYo9tNfoHz6zxCuxWYpdSTiR3zfYK3NhPFmhvLM68l8IjXywQuOzN+zhMJF/vjJk328t
s3/OYVO2qFhYpNrbvuvBB/ZdsrPt7AXJZro1qh6Ig2R1DmDFr3X258LSCMVNt8IB5oo/fld3OEDD
tCINoeJdgwaKi1fa6y+FzOLSIPAM0WRbXcUB6NR5GTU1SYBuW813TkYgbSG3fW3VPhoNwh5TrlfR
jWyL5pa4rZ4nTjpK892Zh3hqeQ9zowo3qpnvcQTzUwt3GwbDNhD9/eyaR7Qh5soxMnSKRK6tsWGg
I2EE1pXjs0uI0MqxqzehM7kvyoD2Cla6EvHersm1LLVoLwoS1TUHTaAQ5c4GeKqLuCefXPP2XaQm
7hb3gzi8kzuWA7uypNo0XgeXe5rWBjv+TZiP38paostky8vTiDzI7N7a3quQJbBYtZYRXj7axpWF
FGdNHCguzexLeJQiQUJQ0wyb5kuYxMuASMnoHKSPdizNrf0lYwKEiKTJ6irkTbTiSJ10N3cu2pcA
aqrj6GLWY/gCwXPTZjxCKyuygnOFGTnp7N530WYIGe4jxwvvGbRqJMvL8RbA/TEI69jcjM6AAQfR
yLweXbutD70jAiax8djFPvPmLF8TtenjYrotS3tkEJGYxnOqhIivs6KiDCeUBXqM7byLkOQVP7Un
/ANsJfGMbEBASfLXYsMJH0TnZO2LEQxhsI7MGelBLXI7eE1lHFnXwkDdBcB07Kt/PZO/XHw6t8vf
X5f7Pgdg+6P7/y/M5et+vTAN8z+LFBG8GAsO7ktu4N9aTus/jN5gRklhWvA56Cv/e2EC2FhiKqSA
gS1IjDC4xn5lbwiwHOi86d7s/+r2/4FlcrkOf5fO0+y6bDU8bnQLPDZ+zj8JFbseCCm5NOrSi2OY
gPeFF7T76UW5/PLNfmY1/gLw+P2H8FfQViOhIu9IGkscMV33z3eyjismSdK2upgKzAUnv2wxtkem
UZiXSDQ14yYe/PR2LmPbPUdR5DwzkDLSW1fIyY9EPhpHw678diwPdTSe4iDb2KiE51hH2UMo0zRl
l0Bq66zUDlPrQVct7zuBx3+KyM+qnbsxbvfBxCUd5eOWY0tfS6s+ahURuW76lk3pdw3+cV9VBziw
zzgD2cvH0U3YtRvXyA5O1NYM4JvPpnd2VRardcaAbBfXFi0rFvtVJ9W+HlgW9w6pXe6+NlufP+85
tMVBeHQ3pl4dCST+yFoP0t5oYSnMP4KKAA43r2g7xQi1mZT5KutPQeeotVssViJlMAt0xNvYFkfT
0ljTWMUDUVgch8a3ZqTPNOKO9B3AQtGk3lvbOk5WU2zrpLouolGtvdox1zIOpB+UDRE98K8ci9iJ
cDKv8xCTa9eat5nyQkaq/bOWmNtZQVOiS4SWbHSfiUOUsxsbmAMAChWldeWoxsI/Bd0rS+tkbwvE
7oiAQn9M+gIgpsGqYqCXsKr5SSc3x+TtXJW9dieVhjnPoJ7IPTIN3fRFqxtrZdCVeHqXnLNO6T4G
yiNVF924XtMvuiH7n3czKbdej8gjV4ZvjTVSi6x4CmbY4kHtohwL9WPjwoTsBmc3O/K9irHNqam5
6h3r3W0hSblJ/MmpjliHrd267jzmE/anFStf1PEHGxWFfivZRwa5GwRh+WWYXwajfdOTRPiNhb4T
Isshi1OkfUO3jd3FWmsCWrDaTm1AHXm+LPoLq5JvQ0hSvZZ1h8iMmkWEeh+OHQhMJ+xxEWD8s+Dl
Dgxc52UY6LnJvWEuea7YQEjyekoFq/d4sj+TxHuVLHzAjYCGMMeUcMUgSq/ZETY+Do3K51z5Rmz8
fWFJ0oxS8ybMHGcdlRHi+XF8HZKMp0fVhGsqXg/HmV9SOwATwrh4SIoPCwT8dmjEtzTMEBwQ+zhq
bowpsEOIpn12mvsCxxs3WBr5jqkjLx6/rhxntoGedibR9NUXYAKMaB3sK14ND1JN/SBDNa8YY/OU
e1n6LRWmd5DzmFxsUz3UNZFhc/WRY42O0yojObX6oXc1+lLUZpjrkMWlqrvqmzh5sqwOiHKQIf15
LLzNuJuiKTnlJRtXTbtr+sRbBttZTamV48kYiGzVnLFcN15V+m0m5Qptlh+aFfAOk5WUzBn9E38N
Krvis7kEhJ6Jp3uOXPkRi7EGfIamw5r1bZ5VcPCnK7Yn37Wxv1JEvuWyf/l/7J3JdtxGGqVfpV8A
PhgjAr3rnEfOIkVucCiKxDzPePr+QJdsSpbl4703VeWik0kmgcA/3Ptdv8V9w5lzU2XGmnCdm9yw
9r2h3YC0XgnNvzdj8VgrB4m2fnR7/wriw9WYBuepbjYTSlUyJr6iukiYjESruG7iNaTmZVwCs64r
4jmQ61VFdyFlvq5KamISMVfInek/XPQ2kdIQXWqXY1ORcufGa8whrzXJIWY5PGj1q9NyJXZCbiwb
RPzSy3oqJtfr2ZlE7UjjoXejvJd+N2zLsjKXkU+6naOKpriILetzmtvEkk7Eb3SZry+TiHNrEed2
QZ3oTNaWQUa1VAlrAGWl93FZb4gJ+tz3yX1dao9YoK1reLzTFQ+8clMl5XNpGvugsr4OnrosJ0ik
9CgzJDycyX/GiqJeLbUIu1I6pe6dnarx7KfBbej7X5ANa8s+bpNjheKD3UYDVyRDMGo3wWNm8lfs
g7swzKOVa2mHtqs/0+xM6AWtdOPNrJiCnw/4OM+epRtzBpAqL1Z1W0yXWqO0OxGhvRxHt1/7FbEl
3OX1g+fWUM8ame64m9WqTLA/ia7bdUbTbylB86WV5iNFth6wXChcWERIb9HSObs+cY0dq5Mrso1v
ajuYVSbbCGDwggEfmTmIwSdh3LHZ+VwZw63vVGLv2u3n3AWGZvuT9w/42lmT8MNDlwk3ASWCdls6
807w40NXJG0BIatsr3JFuWtcRupO8FM7dKHRP/FFvq8i5gc8i0VhWAYYMUkPNi/5PugjcOMQ897X
/ZXyKEjvS+iI2j8gQv7pLeavf3iLPimTpG+T/qrgxiS8iXDGJ7u4/XWp8tM3YX6gS2orFvs/vEkd
xPEQZX1/ZVV3ZX4aNCJl9r9+i7/+WfioPrzFvAH48HvgsFK+YQ/9la1uU+iGabOmCsnkczT+wzsx
U/nhAvj+neaf5MM7JbTwqSAc+YpZ3cLI0JybhzZFAbXuUhrH6feZ2cvwf/3X/Cdl3veri9+vAShx
jk1qCyTdmUv+8e0aPxqmqjF6Fm6fDfQDUtz5wXFMP79/fv9t+h0+0L/vNR7bL89/7TPm1/zRZxj0
Be8QPUZpBmyWD30GebzIXyzwOoj/haQF+TaYc/kKezBGcyb/ipzr/2+DObZe877L5UvvYb3/arVF
2/Ld5YglCoa2ZL7HGBBylDHn8n28PpKmaoiGGfTLJkKb6WbOVrCzPhKXMReDRnHtsGnZtdDK0M56
NSqr0KA6tQ/z4bzoMx7ODIadU1VBmGRYjeqyF9uub28TNRTnatKQDOs2JpUXUGNouFP0jqL1yADt
966nNqFE9ozdb9vWeBARW1ILIIbqs2pnh0F2B+y7XfpF8SKoIvK2+IR8syBPFeKc8MuXZERKm9d4
jdBQ7dAFDwi/8yC7Zt++NSLbvtIscfRE766bHhhZ2msefEzwgUlSXo1e8yxb/8VL0diy7tKpwIty
rzIKGPJ7bxpiY6/cBi9nKgJ3kVhMqLyRas4Lhb302RETzzBeAZ0F1ORaX+tQXAdOeaEaMH5FEH8O
TeuuyV1oe5H5CnZwWHuT/6lighIykG8FgG/2dDuvdL8yxMwWURDsYne4zvToXAvzMc38IyKlOyNC
zetMgAoqU78rZAQ1gT9Cg9B/mSBSWJqN8zy2KM9qWX8mTQRsdxGC/mZI1dv61bzKXwUgOEJ31smm
PZzUcYRtOGbFm16xhBPZBauuY0eKzN6K6ptW4PsdHJ3ovyrFNiSSRYR9jb1VspIT1EMMuy36UpSA
FW6FpI4B0pIuG87RPe4c4pNgll50ItrjFnbPPkk/ZtnhbJjza7QWe+0UOi/uHAxUjuZbkjsjgvz3
2KDIdC+SgCihLEO16sWEuTdOGm8yBi8Hn7y7YA4h0kkj6udYIkKrdDYt+Vs6RxbVBvPVyrxAvIsr
1ZoA3IfwgI056shwtG00hx91pCAJ0pBIymmhTLtLYo0zMPlk8NU+H24Cig/l9HQvwxHLa/4lhQ3b
8pw92Jl2bcwJTMG4bklkarELk6xOHp3eVNZekNtUiPQwNM7aJs9pNOJLppCQJGeTs07mk072k5OS
I4uqIaezkp+qBmxLTVKUV4D111TbLspyzmTX9ZuUXCmdvVIZRzchhThOv8der744LlWPERv1aqy7
C1Whrq4ENPyc3CpH8eE6tnboEsveijncCvFzvMp8eQIR/ILxAv9fMz4UltkuOqPYFDVTtrxBAzyS
mxXjxVh2mX7RJ/2XgM+ath5yZiagseRm8dnKirPLklooGBuBVdOSei+N3m9kRS+vJX2J1ZhFWhy1
x2GMy+VIv4Et3vna9M65L010Gyo6lR6VbohMaBlDqo+C+klF5ZF99ycjnu4Nrb7m52OvOgOde/dc
DVmCaadd+VNHB23EZ1Uy12wn/aZ2raexcYtLH3EdnnptOGjxqO3ztCequgtPXVze2q32GhTxjRKZ
gziJonZhW9iSPMl3maoADSDuxMorweNZWrJPU/M60nFTKMsWzIXraaHlMl4iY9YXo0LhY/rY0nI2
ztSKCaE09HWDT2yRqesLz9FRS2Kg/u85+77MMthY/f1zdp8Wr1X4nPz1WTu/7tuz1mBwN8MP2Vu9
C+eod7/N9Axy7HUAaBTdqDjYQf35rGUQaJHaMue/UiN/l1Bn/iZgoCk4u0zj3gG9/2Kmh535h2ct
GD3bQcxiUf3P470f6nEZkB8+aOV4HqyiMEjWIOD+XEjurTd9mjKHkQZxoHTRFvbFaZcLRuVseLG0
r4G0xTfezJpWgHZ2ldFJhvTCfEFAUC9z13sGgXsbe3F6NcZgUMtJmBvLAfrAwLI+50K8BYWis02B
ZhsZ4WZ4xay1rMNq3UDqWGDHcU4Twv69liUNYzVMdeNyEMzdI6gWF4Vu4O/EK4PRMz4Cr8lWyDvG
TeUwNWpKYtkT8LJLaLZYV7FZX9jdeGDCfVJ54x3TMIk3seZiQUAzqDgweJzATh03gyuDldXQ7pbM
UjjRZLEqBzrPUrXQTm3tMaFLKsSQHYAk3Bki0BkqYCjBuFIw0x+1iyoSL31GQ13m0tiiKnmbouhJ
9iHgJLsz0n3vSe9UQFL4hCnLw0UZ8DSyEIoF0WvjT+Yj4yUMq+wbNh3n90rWCQoRRGEk6rqZe4Qg
ZaxFr2sHuxj0kxNmzTYMTKCIFTLdSsprlfjRLRPHfR+Md1pBZZTbmb3VVX4tBSc5dN6MpYItGAMx
LZ1ijEK23iM9HGPtZASoW+TIEfTYFT7OYN2Kj403Gs2W6LSRcdRUVaK6DPjbdaT6hefRYDa20Hxg
DCVEMb13l8rVmstCuZDQTQRxzr5oRvNOM9sk3POMJbu9y9zLENIUh/ikcPCQLGp5ly5mHsw0sfvW
GW58MvE1k0Ez3dod/fDqv9Pr99OL2fnfn17H1+oncmCD1/xxcklOGsHiXkg8YnMU5h8nl6n/BoTb
4OD4vRf40CVgp3hfERg64Unfdwk2Tgv6BF3CzCaoHhHxvzi5JD/Zh56VJsFlWmGwjzAFACKWBt83
CdIofIQ/U3MhqS4XMag14G6BSSFY2u5Wduq59vx+U865hcY4RZQeaa1ajLoyNKPH0MTQexl4eVvu
0X8WKUOvqNfXhea08qpg8NpfZX1xUVhxeIcDD3oWezIJv2sCsQLw+clKHEwd2ehvC93Dv+HzxGW7
ms2WD9OeSAF8V6+XhPK0e9vTUkhuxvvaLQ2ApJE4DSYMM5/VijqsNyZpG8aB9Iwpv/WJxNLYGXgR
w1OWrVvX8lELS1yDQ9eIFVHX0ZZqolz3pWdsu1gY634oJxJwRHU/geE3qNhHMa2tuh391Wi607BO
WuyEnO2ehpbVLjTcz8Ukzu1IYNCqIBjmNhSimtPAC+yFyK23Bu1CcxtbCbxCMadSDaYIzG0p+efR
J6l46m03WhSw3CIK8yCXe1AHlr7+7xb9/RblnvrFLRpmfv2T6oIX/XGPur+x3XO4Fw2Bf/+He9Qy
8CMxZkNEMM+nvjXy4jd0NUoRFAXX8P0+/KORn81Q3LXSpFqRlCb/ygwl57nhn3PF+RaliAG8Qrgb
8H9Aq9/fooZnISIppHMRTJpVfWLTnqSYCceUti/Q2FYrhObhuVax9bn4fZ/NZntmAbnvu+7qfe/d
vO/Ax/d9eJpXaDzk+5bcIXZqTWrbgTBUZDsIfqf4OgdiUgAzAWn4NPQmgjvLuhhFVq7sDPIJijgo
FGXwJZdouM2Zj0INBsiHXfwAOoX9G8W0GY+rHqxKYHif8e8AWiHrHQ958g5giZMcFstMZemcCibD
KuC7imVOZEp2trWRtEbAmaEdehAnk36tN6D8vawrvpjR9OQTJLpsROqR7ZZt6oG1Up5CLYq0XRiy
2Biq7ItuVREeJs9a4fj9FPrai3kmJuWc22A3LcnHkyCz8RLvzijVdZrra3fsttF0bTTiU9/VD0L5
axu3v3v+70Z8vxHnsvjvb8SZrbcKX/2fKMbnF/5xM4qZrYcVepaGz5v4Px+YSOEcBp2U7I77TkP+
824kb4N/3ZTM1d61cNzd38ZqAPlAIEMcRmgO9pgR3r94YNL3/3A7Ytsh20FxTxLtOEdFfX87hhHt
LPQv64yxGJU4ibUNxAOiUOM51qIvYJh2k0TZY+uFOayCbIRRnM9ohcw/EXUun+MgIy0RlaxePkUy
MYyr3qjZnUfvFVw9F3MpHfvBt+YKr5yLPYKxqfuMWkdO5M7lYOpZ3iEehd6sKRsj4zaUbmIfJ39K
aqjBPky2yioq55rY3W0nsuTVIx9qlcNBSpatrdoI1YsyNi4Wye6mKcdmb5OGCj94CgiiJr6ufZps
ybBJloF+NFvXO1ZlCZcrI3FiHQxuuazKqlljuQmPTjPaJ8+bClYdruc+t3XGTM0uvX7aSltMOKyD
9oq6+nkcsycZ+y8R8dVrurN0WQjntWiAFrs5sukuLe2vrP4oqZl8lT4gzEl3Nk2stU+98AVVsk4U
K1sqg7q4j5gANerBYIG9cuPeexlC0e1qK8PfyO72pJGXvYuNSl7Ish32U1GUW9vp8mXVIWVPZ/E7
uzgckhVkGLfzzvxxSdKAVlL3NdqzJj2qllkOsXHyPDrOtMexHSxCE1W47QZbGTIWqXxEAyjwo2Ve
gy6VYH2p1l+VHWhb1U07eqZLK0IfOHo90OF65r97LOJrm5BFpE0rWMwd43tnmwOxIs99WDZBBcDO
GhrMmcQPuokzrCpMrOtIK8xL3Y9jYIKOdZMJkb1Gul0d0jLMHth+AScKy68Zior/4uj+pzn65al1
eo5ff1I9fDiwgIFaSHAQ0pKcCfCTAcS32QRSJKoJygDyb2ba+ofZBMmxnG26RP1vufp7ZfHtwCJv
FuEO5TjTe9S9cEL/xYHFwuGHA4sSxMHeYimyFVhY/Jh3QFdOLVlmzmXcJdgF/LT0bochhvMozDDe
9jaT1VHCaC5ZogPATfZ2hTrDaTVnF3sIStLRZIvV6/T4UaL0zUAA+sKenQMWFgI1ewn62VUQ+9lB
m30GcnYcDIm+ESnjTza2G3dSr07UsR0ewap575YFgXkhG/ojvoyNprr5roram6araWoH8ZQMLhrI
KHDXPWSNRM9Jviy2venflEbWrnQxTivSw7tllla7ZjIu3Np9hbJ2HVrqcirVniXtLaCurZbXnzVf
FcfMQ+YfENAT2OHecPvPCbHzSgtuU9P55IdqWDDaCXBnWwU+Y/8R787eUsU60r1Hy02e22CO3uxI
Ao2brieTh01AaMsF0u1uWVWM8WXuHssZLxpXJra+5KLEWwR1xD+Xqf1cBc0l5pS3hg+auXq+nPIe
db9XHFIZS6aP5J+7aqWzPXSJFmacnsFph6IhC8tYWXI8TJ72WVXB9djbxB010b71M4gUsp6oXSje
1AxrMjyod2x28HY/xvRVOJg5wKxq2vhjQk5OEbzUKdLesSBMMDPGLRj8Q8L0Zpsq8yIryB3rmyRY
kTJ9X3iBvbaqtxYh6U7Ewl0zluD4YvdAt/umDTWQCte9LBMWBlOI6IFIuDtVKUhxbrIDXX+dkG/j
dvPzkGM3agq5dPyMcaruj09jNh2Ub3+V+L7XUcfTBUHBo83SAlrd06BP1yW6AcYVj30BwKhqgjci
nICF9YSwol29SCVkyXpwwf0YNb1n/4q/BPiR4TD5KPxNZLYvI2fpwkJ9Krv4ZaQZxm1RzSDzUNRf
OjasJ5z9TGLS2TDYoKZLVv1sI+T3h9w2zt5CzwlZJHQYZrFoKYmAPOU0WFGPoJEpGQ9DZOUTn/A2
LkKP3A70/htXA+PDikNj2VGw/Bk7/XLiZoCXGcktou/+ukAgs6DAPlhWZGGwIe+u5DWIrLXLyPcR
Ag96vra42vDHlFa8iI0R/6MVDnsEQ87CwbByUGrgKds5/RrgUIMCDyabTn5yD5VI6f4lICn0DqZx
ttqSp5PrXmMB9ld1El2UglxY03gAkDDeVoYWP2ZGBPKmhFBtMSMyvKpYq4YLshJWDNsF0qwNOH/I
CsC54A4WCkHlNjWJOpcZKURG33YXANCICMrhn2rjOTahb7lInVqGc4s2QQNkhvWXqtW2Bky+BTGB
+0xAybUdddCU5RwMP1GrfA5GBL1TPZlMIhYQEaHD+h3y47m8zwIJl4lNEUjbBKQfbq2X0jA/R2lK
IjPR9Oire7XNpoFTKUaknafs12ot0unyy3xhmPPf1xMpKwjvWPIgT/r+IuSOWvbEk0VudY1UeoJ6
42wMPz8ao7UNU69Z5y68lmiqgAW4ajkEkomuavkLTfDCMF2Bkhw3aZayKgxtdOIo3gHbHZXf+ou+
0LehEz+C89m2Wn07xV1HyA0w/IBco4ytR91WeKlbqkpQWFuvKHaird98ywtgrubtCrg9NywSJfOs
hvQuraPk5AbdVcYnylgSzHqaExbhk50A3OGBhm3T28Wx9dTrkJsGwq/00MQ9WABj2Eq4bP/1Nb8P
GFBy/H1fc8rr//P/Mv81ef3ZmIGX/tHZMAqkQuB5atJe0o38WSgAXSEpXuF0RbaMKvjDKND+DcUw
miKsNTzC52rgQ2czTwnBsjqwM2lt/lVnQwXz3ZiBZHvUzdQvyAV4NP7o4yGpnfsmc6OLNl1PjiQ1
Y2uXDx8+mJ9IVtA7/eRdWJIgy3ZsFjYOn8FHUUJJGCkDPye6aPIoTFY5ZX6ACWBUS88y43Vk1RWc
DNMgklCx4yU8Y5lM3rHjOXqjF8F1EpLm4AThCbU+RYChOZgHWjSNRqgvdT/Y92a6b7vgHHb4VVvj
pE/9dT2a53LKj0NlXTLgPOhRjLyuw4Ye6aW7kUR8L0i5GqlA3K/EtfUoMFO+2LALxzX+hvWG1Flq
7XhBGpZLAgCvHyRU6xGHgzj02pRuvX6Qq0arYSq45K2T9JEDq2oyVj+mfe+hFdliF7GeTBbECw1N
zzbU40Csg7YsknU+4niF841AjhXvuPNdqIN7wwIlxRGpLkiFHblnASfiv1dYmRqrsNT9ZJYCabSZ
bCttooEw8h4xIa5Hqcty2TopDhoIoY52qUpTO/P9i1UdkokwKyxzLdsqjo0Vog0W/fPUt5IKT2xi
x4cWj4664v1q68kZfVkfzTHvcjAr1g3Bps5wFaBcIH9idI9uJeQBFa7/yKLOfuiwpQJLo++1m6y1
9wrmDQFsJo6ZnQo6yhO9r91Pea7A2zJCXUNdtVdmMQT4ZMGxogsZ953pdBdu28p1w2d+AiJYP9dU
jMMIZmoc0B+4ZbjXkMOuGbszjiKd5gZJ9SHSQXvTS7o3EGHwI0ewTNXoQhEq4IcPsb3qcoPxdvig
Uqc78afrVqIMp3XVMMeqmZNTug7hQRBas5Y8+7ZNkxjLzPXsizrozJkdX2+F1e16O0P8OwAL93la
rZWWnsMsOUM1zDZpFV7bubNXuNlWnkh2eUhb6Fv6Ve32t40hu09IQtUbOnSK3Hgl+kG85WG7ctJ6
RQC7cadrhCyLhriYPF67WrqJFY+egUdwLYqvdd28ZmH1OkbjPVMvsg67gzukGw4Q9oLT1h7086i6
leU2O7YIxJnj7q26L7rTUotqm6Q3qOvAf7bjC1QGoo5fcCAZuMISaztIQi1ip3t0RPglmYS9FnVc
HyhDfCzN08lMSRj0zbMo2hV6lMeCP1/dWDyclFx7nSAcWu1afXocvBo/EWlCeAQXFkBVckMyfR85
sCQM/LNImK74HW8wdOEkCiefotMDjNjhxAlsAQrOM6+bJKuRFjRH3xy4mKGcJuUA0N2TXGXpeHS5
ifRcws+t8Puokyqskz3kD9rULGNH3ramf006+wlk07Iz3VPadteBS8lrFmvTg0Xs+3h2x9hAooM1
uK3QN/iVfhFr8VMeG0+YlQ9hHR/zRB2i1rieemOVQJHMk+Ts2BH2vnI8TlLuClLsWZ6ML2Usd63r
rNyK8ipAgzBO/UHl07gvpyw7QPX9mo4kI2sBuofRJ93FGax4W7oFRjOUzdOolZtfn7w/WVEbij3T
u8WFhS7//f3JG4xGWo8iARFXxua6S9wRzTHSEdJBk1OTEqQsOxCneZCysp9ejaKsr8sy1u/UpBKQ
9sMN3ryTPjCucOWDPjRbMgPeMqIIcD0jsCdIidyrUd/kE9d0guEz95wah7GCrlsC1pKq2cEh/AKb
uV2GUX1vsjZfI/TFiqWjuk+yZV8u62FvFED7Gy9D5FVtTRJ4EjPf1qn8OibpLX6PQwujc6qTQ9mC
9Sjyk6pNd9v0I9i5MdyZQ+AsCaxcCiLYN4EdbX2a7VWt1zf2yNioCMRBD1zua9ZBeD+YOkXV8CkK
O3vhCvoYczQv7ZDAz1IIFuVhfO6K6SKooz0Q+63DdGoVogXy3t355FIgefE3EJjWjl+cEh8cqszg
KST9MWnTHc81LCAFeOF8RGQXVZdxlNyg6p1TG/DHikwLl1aBrqSqrkKr7lbpROdbVdEne7TZUw/h
swvzOATqQK9QLBWdXByXMw6W1VIKTsx4jNJxlVrEBrn2ruccsur8a+7OmiBUXr6rffUMMeHtLBdU
lMMiTlJjzySJs6w5hVJ8NvUEI/8IMZgeYExNYxlhcgev5l9ak2OsAAPNtO9I7SDKtvc5Ma1H5kzV
Ocn79B9ktH8ZsDI4ZVILUX6e9NqzSetjiUB13YNTSyGzYui0okOFkunXN8P3GxW+JVgDg4EIS9l5
hzOvaz++gyVQZCgQHBeJiIiVvQzbcBcWN7BAuBJQGYly40brX78nsx2+6597nL++6w+D47aIm8K2
NO2sj9ktYhKmLvwPnoqffZvaI2BrsmyU8yA8a9+1UOi7AQJPkvUz1jbMl1k1fc41eSLXQ19isdkk
bm98UYEtV6kefRIq7Vd+PB5lYj8KLx4ORoIck6spy9ftJLO1KrRyZRQYAGQ2jvt2kNaXPCP2FICE
haMxfEm4VtelLoIVJ/C4apRALda6t62dTHSs8SdaMHOf+rjIxuYr3c2Oh9JdXVUbwbwUY260s/RA
Y2JChULOfLYdp1ZfkkZDM9Q7oDHC4WaW42WgcZGFMM91XCwfdfdW1r05Cxv3lU2wa2/fDRNuFD0+
OA1e12pmBoWeBfqtIddZtAAhpujIiGOVjZ65shKEWZYXc8rqD52OSTqM0rNCxJdV/brzJq5gfR03
fgoErljlERKxYorUqkq8cwG1GwIRHAom1cofblksU8AV2l3bAHqwrEZfTrLZakWIwqbNn1GngmtJ
r0v23ZDbmkVtEE0P2JN8+p2kS14VUFqyMdgNHlzprmovCsEzEhL+vqrsV1Xq7dIjia907K1f2CfZ
/y9V82/F4e8+wl9dbXMh/kGM3mN/7EzwVefolF35F9qmPJb3ZCvvSZQ+KR49yxezX9Btn7On/vdR
8d+++Sx9/smlzlKQfaqJxnm+AT+8OQtvlcXgnM7FyllkJ3NZbCDlGEftQW6IGv10qS1PD90aq3f3
zH8kF+NJXxzCjXdhETL6Dz/N943N7/edpVNeog+jjXJ+kDiMes+wxoiCi0C/AlG2CPWHqtv9+u7+
/sz663sw6P34C6OjhesRJAEP11e/Ip36+tff/6e/A6stts22NYvNv//+2K0npkklD2/tqkS9y2LH
L34/of4T+s+hpH/fvp+fv75Wzz8Z8fOqPzp3AlU5kIn+Nh2SkGcXwB8jfv03pH/07nRsgCkFX/qm
ECDvi14ayh6PGjb4LhfFtxE/eI55tK94gYXm/9+N+G0xX15/3uxsPhUsHby+IEJw0qj5h/h4+QGk
GmuzMfxLz01pZ0GENzVKtQRquNUkD0UM2mpoXOgN40HOgPEs9Xl0tzsd8rg9I8h71+FkhMuRy+Q4
oDpcTG6Eo5VIHgOC+Xxeg3bCRaagm5MiinY7dN21HRYvRlsA0VPtRdP6qK+7RwEj3YCV7szQ9NAP
noSbrDSah3se5fouo3rz095bSo9Ad37sfNPCYc9DLQVjbD6SakFM/AxrBxoNNUkT9oZolzdSvV9R
C4FJniHvKo/QJMJ9z+PgGgj+8wQPXpuJhK4AEZ87dHQxgB9nxse3YJqxRhL5Wsv8i4IxH8CaT9F9
LKqeX7GdQfR1YVxpkOmjxD/nkOqjGVkfVWTa16F5BU/qSs+sYRGGSbPsZ9R9QnWxRdDTgcnrX2Cu
w1c15nSuQCWbKXCQOujRXQc/H5kDyHMd8WVtJfKEH/e2hrafpsZ1nfXVJkpIsNAg8geQ+YNmOBY5
4RWyD7BuN93eN4BV+DnDRiQJOd5eBwZ3WKsZzTN9Iu4l24HcarFyyoj5PgEByL2iDXmHX7U5PMDv
AnLkM52h7xwtYPVKWxekDYgS5JGtCmaOnnc9zpEEAU7dzejzNHWTFLfdHF2QzSEGudC2+ezkDCVF
bPk0onra1r6FOrQIaE59CVSbVARYe0jByCwgKMEjbqGc1lISokBd/NK4AakNc8ACaNl0ncyhCwPp
C4nsAVBUxRl7KoxuH5sgTNxNFMKM0klvCD2jWXdzoINpljc0fsFKsiNaRXPsg2qRxuhzFERl4jDx
2+mlrXQLtEULPGuOjojmEAkwWnIXRgRLTKM6s0Ug5GUQr1VBbmXlGhdZ38xbeS5lerph5XchQQc+
cylDE7cZORbdHGgR0kMtaiWTXVMPmGT9/labAzAIVXuBtoNtJoU0wSKM5cAcmFECivF0tjKlndg7
gI2PbmR+odvZyjluwxzqs5ZqwKQ0hQuWTI4pKL8QG0vQey9LomFrV1yzEGrsgzExU6NAd+hYh2pM
F1ZPMknwMPjc82ascoYnLfJ1aFWj1VhXsk8f+6yoYcLjFvFqkkVLZ7wf6LfpjJg4DyFBev3ssYFS
A2o9h47Y9ts+QQ8U4qjwKnZ6RuALFv8w3UtFZCkY87sp9y4rUZzawa1XWC/ewqa8Na1gn5nq2Cnk
tk10REawNWmcAy046xFLqnyM/IWdMA5KK/tGz0W3Mvi+m3Iwjspi6kMzuMeyba6ZvT32rr+re/uo
a/qbaOSmjjHc54j4c2LeDrk2PptzkVfOSJdyaHr82504hFOzUej0iVqKZNM8ZH7Z5ZshKOwJNwYJ
Y1bf1ve0sj2TCROwutDrrtpZoXKe8J44ByBAiX9F9q2v9k2p2U+eL0xEAQ570tSNmxUyiAeDycTa
GUwuDc9P1h7Xy87Owb73EVuAnutu7WBWWnAVPrZ2u5tQZmM0EbsAEhtiYKbzfeiTnpJ712qaLoes
bZbYA6clu9mrRPiU2Sje12kRcjzFicniI3rzK3ldCbag7P03I1LLHRCFZCkLecOMh3lCd186cOi5
i7fKQ77otmjF9enKtcNjG48YIwr92Rg4x/Osh4md3hi9kSybxqt3ZaKFXGve5Rjr5nJsgEVo2AsX
md8b8T6bswjQVDzLvAvW+DQqPEPhKYyjLybmqjwavgwEGmTlWCwmIg5gunEfzqkHkvgDfThlzA1T
TERs1rJpS7e11Tp16c/JCR0RCgQyYo9saKgtPNmELBgUbKAIABsncwKDTHsikclkCOZ0hmrOacjm
xAYSb9JFZIaIOxGAwizaWp1u4APL+4UpypswcgAXVhLzTXmVz6kQGMmYNrNSLAPzwg5IjnB88lIq
4upcQiVigS+TkAkNvP8y18VDpLqXqCeHoh+SYz8nU9CTHT1AC06pFuDvL0eHDAuTMItiTrVoo2IT
ujqxGorsHlh6hGP4S6HlZNqxKs9gSC9JcybSNVkhxr2VLrAf0COvogPP1s+5GpZqjtGctMFOWPAv
Dhv04Qd7TuNoQzxMIQEdcD84n1lGxx15Rlp4C2L3uWzl3iz5/wC4diR9xBZ/ah0ybTWHgEjSQFLD
f41ANjmkhOQaX/XIDWk6EgTIEUnNYPteRv1XT8691q/qSaAePyknedG3cvJdMYLglCEH6yA2zh/K
SRQjqMtAOGJZnrWof5aTkE9NIG86ibPu/3Qm38pJ+dvMk7HZEDHRALL675Bu7/OP78pJNK2o6GwT
TSyOGnvuRj60b4pdE6k7+nRppcF9aVHvJIwqCJwomR9M6UaVYmtwETmjxpDCvcehz8q5BQORuuIu
UuRf580+jaI1tAGvXklJgto6ZLr6KSG2dJ2b+rWvZdW+4SAk8imJtC8my0nYgobVBUfpdUBUnUwn
/SeR0a5ueOalbdRe6yyeyfsQt3089+qEmLkOAP8hs1ZFgGWzHPK7cdTucbB+siiJFrrJmQyrbC+0
kfBxdTDAs5CK9VJNFkQE0in9SL8pIvOKY+He7OpsFTTcWV4zT/0q+DJe9jZWQOwD09h4NotzqE4W
te1wiXn0mWBKwuQ7q11hKvla9um0anRG2O6g1r7ekKqTB8YmJlIB4Klmj/t+yLUlK/qj0QKWi7mr
jeA4tTMpM5BIDKCZGWZ3rLriIdDdR82WuBUT6zrGlYdT8j4OAcZX0fSpqfpN1xrFhUFwalrkb6Zu
/H/2zmO5bWzt2vfyz3EKOQz+CcEoiiKpLE1QsiQjZ2AjXP33bPVxt632savnPenqKluGSILYb1jr
WYwa4muvlxUpOfVVmO+0fLpP234PPg8zKCWpqkyOrxtGj8qA/bOipB1Y1XRbtwp8k8j2lYlIlUBn
QmHRxh/1qZr8me2UL7oBhkY5+J2kZpcJS5dcnZSVm6azX4xEg2MxeI0m0JYGqpIuSNQFMYU+XlGe
WMa275tjkOGWMZgtkZDQ1NWCnVqfbzoLzsuCJKMdZEm/ba1DN2I7Mkpd96NCrE01+JKCc4CwShRe
T+FXjC+hXcLP5CwqM49hvOTPROgDIkN5UcnTReFHbJ0GKFRDF4Rzyj2wdhUrVyUQT+8j+zIbDBAq
RXMTtax2wPuy54dTi6/KS5Zz028jMc5wUDKTY8hZulTrG2a13Trj/r/qWUQ6irmDvnnPgnar9vr9
IDrND6NWXXatrjHL0JPLqsD1FRJdsIosEACBIM2vGAlwgi4UbCZNU6+q0dDPEH+oT1Ox8cyK+Vd4
kadtAL9cf2GsYaEomeKjYwCn84h/mFx8n107sESJM98aii9kIa91ET+WIWx0D8ZJGPF5JtmUHU0T
vM2Y//F0/58znk8TCQusJE8bLCiY2D+20D8+IypjBIWueNoxy+9S882ylr8dBP/kEh7dNuI6npEg
rT4NPaYqHFtkk+Yxbb/06Wmqbgvv8t8z6kOyIKfPvz6jqrL9ydRD/ty3Ywq8qCEFioacx5twPr87
ptT/gJxAhy2PL2Anf51S0EpVxmkOIwnwZlKT8OfQg5Bz8AYq6gLDNB05Kvknukapifg89ODIM5jK
AFSQd8iPd2DSIO518HUfcxUVD0xrOPSjpkYuOUlFEZ5KKuWLua/tZzsyB4ZySoF0jZy04amZnfbe
i8zyxvNia/YB8w9EHRVO99AavUb/wBBiZUc4xc1YuR91Hj5jOJt+phMSro/2ySXAow+1Yy+gbmTT
yxDOL3oUmHzTru3WzQmqUzd6lsc8QOnbtdRejQLgmdJcMF3GSNkiC2Mh26ICn17SumEcjmYJwm8o
A6HA9MP7zcBVuzLKaZRxfu7C6r2dGTbNQgzQn3L72hTWdR7b2jI12I4F49XsgoGGA/BSF/UNHuvn
yE2wfwecFUWR9AQCzsTgxsiu2eWzITOt68R2LoXbPuq48FOE4pdwnfZ9lNIuBjqJgq2DobEJkbwN
FfHlc3ot6gqM+FwdjEaUi7mgWG+k8rCBikY6oxSrZegCO4OF/gg09LIokZQ4uMttsi1bTa2Wvdq8
z20zIQ2TWdltv81aFOnQxjW6rMpxEhoZz4dGNeIo1deUsAj6iILml9KAFAvX2sYF/2eKsYdUUN4X
UfpGOX1Gdb10q+xVS6NbuyR2tesStOlWsENUd44rGVlhOZGPsDVYhJg8Q2kFKTPzOrLtW7PB0sku
4M0ui/2M1KGaXFbNKgGkReEQBSnKhGjVcV9IVoY6oGosi00WK2yQzZ4EUQ2iZ13cJ3bLZs8e4jUd
18quuhtyLQdfGagCItVdm7Ujrno5zHGm1u2QL+661M7vkSQg9E778yw4yywjuipAWAFkIGY0mfq7
Zkq+BGJghh81PSAAFWO++2Dr7qMThL5OQZIRSr8Y5a+himtlIpommI9ZSuJurK+94MTNWl6Zor/M
vPQ0T/ZzbDM/KGBDrZsRCoBJm4ujbdp3NredZiWXpV5y+DX84or7oDhM0oDvxb6WjIGvNJIdll5Z
VX4kGHcPkvAkWmYZnVR8ho65Voz6Gf4uwbT6Xd5l4cIunYtK2McpJssT5d9e8Vg7i5riMWhvkUZ+
IYn00Nj9ux7kt23n7DTyKBORajuVtE2/y7yWNE0+hyDJ3zJt4Cs2h7igxgyFXGEfefGQ64fosYYp
vtDU/KgH2olVC9Hk6RdFCXy3hCrhRAjpciM/SUIQrRllZ94VD5GEY3Bs6gtFLbK9AtUJlD2MMmjD
tu/k+csQBOmqm7Kz1gaPRNlPPujmhv2dufXc+TIrukOvpUxjzKfBzl+oJkk65KID0IEqXmaBt4Pt
cWwzdWMa5taoMFADWDz01PZEC7rFeoKrauoyKEpDcGxFF17fGftYa4pzK1EtF6PQpKigIHhT4no9
r0blkbgPfV5kDApzjdafDfu6ztRuw8iKLXJR4k4cTf00TiYQ8Fi7ivhi+XzmFjAkKhNLYP1k1jI+
zDWxA2SCZPvETKxNx1uwGjIl22oIOhf42x1jEWILVRfC7qJtpxgKNHm0DIsJL/laSYJ08e8x/XFM
m5yp//uYvum77r35ey8pf+rbIU3cEBZijeUEnv8/HIp/riY0RIUY7/AdwAlDVfjXKc3JTncpTVSs
JSBvfXdKE/8G9QKnALZjTn7nH5kX/44HR8JDIYDEyMTPRdv6qZcUeqEzSfOmIx6Fdq0qWbFq4RYg
ZTbcoN67KkPcBSk9xFlbAfSRAb6QmiOz+AAONXO/iCPVuhwljkgkMDt64DjgyGHlTQZ+X63zrmwJ
Mho5ls462vGFDT1yn0+htWkhH3kS1aFY6mtRmyrzzPmcx3QOgQR7KJWE7cP64KzFSCDxH2EFCCQu
4SnCwjTIiw3xWsILAZ2U7QQxAzymrJUqoSKAD4lCk6ARLQXjzOIB/EgMhwRt+PsAl6SET1JJUEmj
yhxtCS8JPfImZwk0UXuA5bp+7UnUSYD6l75/4GvfL1uJQwngoqjwUWoJShlDcVbT+T4HkuRBUoHm
/YzBc5NIxEo8A+ksoK6gImDqCIdlrtw3civgTUtEi0s7OUloCzbK2ld6hmYRiZweZJdUIl4sWC8B
3aWj1AeyiB+TOK8XjsTCxBGAGLTwX+ZYv9LQw68Gt7qOo5CWOjFq99QarjJtlL7gsQAjxQ84Ef0a
LqSrQU2qyo3ONFr1ho2uwpfUvLXWzO+z68YryxGYP5AFOkgOSY3DvVD0INjNPGGn7g7V1iNYZTHo
5kPV82xUjHBZIxUUo26h8nkPHPISdBBJehBKU9nX3gnLpZNaxbIz53KtqV12cDP9FDSwhxyboWuV
VOeomV/cmsZK66i/oqy0/UZq8Au7RHHY3SdJee7VHCGTTcKJmyXruV7TmMrsOAo+zT6PQ/jQkU5H
Nkq7D5suWwolp620U2bzLfG+xBsRIjPN6tbJinhV5q1JxYB2PK49/BTJCWlp7dct6KrBbZaICcdl
Z8UvTPlDvxPlizMaNMEjE9lWIVEduLuJISNNWdmYtNys0BaqNlfL0QxNzDUhIfTQzefS0BHn5IdO
5oUgH0GlKjNEYpkmQj2+z5ThjJ/3qZB5I4VMHrGIIMltfcvSHGVc6DGJbluilnWLYTynrUwwsSvk
UaTlRVh/xmM5KrumJP1hGtJX5jEPSW58qQhESWRXDlzinYfUVaOHmOIIT6FQUVeJ6zasH0hW8YhY
QbX6lrA1ROoRITSdvgyJd0Uw7Q3KSfLCiWnJ6o65gUxuYdWRsIOh0CGi66kt67Mug14gG78nMvqF
bN/N3A+MM2QsTCsDYryQhaCMjDEwMq2UKn1APvOgNWz+bPJlGjV5puRAxSGjZyoZQgMn8kABcE87
sSdy8sL1chQKo0X1X10EMsimJ9FGyGibhIwbnJIbGVEGDwt6vkM6RxQ6j92sd2x9iMgRMiyn/YjN
0bjxagJnj3pausqytub47d9j8Y/ulaPqfx+Lh/firXyNi58YiXV+8M+TUUc5zxHm6kw40JLxR3+e
jKbc53M0kqjBcOF7DriEfXNSET/6YeqXbrpvU1ZORjQk6n/x4P+gd7Vs/pXvelc0KKqFZZelPegA
D4DnJwWag/PMzfVQOWoKdtyOZkI15/dgQDidWpm96A11jUh23Uwh/l3yzpprD5j8WXcET0J8ZoVz
HbL449DBm7LsW615YM/nTK+WQjthR0EOKwaTS0Jo3aLV3XkTtgP/xxR5QyQWmAlpkAGIP65EpXjr
BvdMUaXqa1hjqKn1sVqXESabgRJlIaTxhvCLcWVIM06f6s1z9WHQkVadGe7lxVA4F0nSGIsBPw8R
gmi5cPj0ev8FljiFojT/MKcDvyZncPiCJmkQynG0UjdDOZPmobxJwpUnDUXNxHkAvw4gd4q8CoLn
woAGuHLpXxe6NCXN6FX1bmxPCYnjrEm67ImecLrRtIfYbAkuUNIrUnaiJYPuM7E1pAnhgCI/iWkq
HcOAbqGNCd92mVybXdYtXGmgcqSVqoMvdFF82Kuk0YrNo7pqP9xXDX00fQaWLFEhQOdjUY5wucmC
wLmVdKXhw6MjKoMDJRXleJ7pZjZFa6bnEe9XKU1gnrSDkXbBD6XzHK/pjLAl+kYBYSyRHrJGusnm
D2PZOJrukmUzdjPggTOGwKIKbiwuuxEfQXjc2MWuaISgxscIFtiKe4hNQmoXnRccUti7bnHQ6j44
a330lEUWAduF/RI2iEYHSEgrlgpPqdaFq6CDFeiRHcixeJkFESzyZDpmLKrBnOdfo9laotbrjhPu
Ox+YmuObjUsYUpGiCBf2rhG1c6FbzIBFMt1ECd4pzqKNGfEfr2FTOlo9ULZJAmDIdRj4BTq9D+JF
IzjiD8KqlIvJcLD/GZlxsj5w9Q0bXk4gAiZ8vSV1g7ix7hIaA3INbrSjKIFpN7VV722T3kYpS/QJ
aAjRG/cbAoSf5dAWAqYGvHZsL4aR0PNMhNraMgP3CmPrWsm9N11pybXMz2Xf3wWKcWgrB7mprlRX
kxJPO12SXMJy3ioWw++cQfWtmgTBynXfO2Xcxxm6XNO5nKLSWzlJtKnHaWWzheU1H92puLSIgpqF
sre0+DKP2OHFvRUcCpe1fG5XxrqPiLCYxhDKfrZrErFNaz4kN6JFHsi/VBInWLDbfwn7gW+gHR9H
QWrHWNCjKp3IscDXvmZnOw8mods0L3njLgZE67jOvtpOzKMlXzPsWkNm9lXBjDjU2XYwOI6qZOcQ
auwNhEBpxF1GHfJM1px3bqYemWXcQS13uUm90kZV5NkXgTt/rWrt2pr7nQOq2cjzld2R2KlG495S
Uj8R4iWyjY3diFVLvh3ZolSIaXHtlvqbl/IdzjPjvfOma1MhvT2vq8NUzyTbmn7FZ4yuGC8p1QYC
al/MaoWGPH+dp+mW6oMTO012TR+d5nI85tDuMdXugrHcOnkJrY/LZ5Z6zouR9PLJ15HaF0G/JAxs
ATWFKiHdOmhZ8wp+fjuuaQeQqOvxq+1CC1WqrYK9M42Iz6rKY1Gp7qogPIU8aQTBfXjSqfJiEW5H
1V3mpXKJpGdN4A8rV30xpaNf8xWh//GDRluypCNmLHtvsvcy6K9JoueOVLcTUqN4KB4tRB0QGZea
yTVYdpgBIe2QidvOXjPNYx89Xpujd5sls76kV8DXN6ibHFs/XAXuQMKSaLLWVClfSUq54gm3RvPk
t5G7tF18sGEb7di+bEEDP6pax+TBvaGWfXSj9joU07nPYQNU77UKmTojpcYx4jW4tXUbTMs0NFcR
uO/QiM4GJLVSGNfMYL5qSrfQG6pOYHKVqm4VT2zdVlmrUXaTEN7eWdodE7+FA8x7YVvVKlDIR1b7
NV/Fq9Zz15rRXhjBxAXrVVjxhlFoLss6KEje1l+Hvnzkn0LkBaplakHA8k0C1RYNIEyHl7Zo6W6U
PQy33aw4OKUoaEWTQrzmkIiqoPYRdrEKsp2N3omHvC+eOzzaU+Xs0OeRIIhXmpp1W7jWTh1zJpaW
h7VAPA6N+lA2yXWpaGgWRoYwBClq3iosuq3TWdydDnAacYZFta+wAwgF9G3sbN0xOBJxtCvM/IJI
xkNUIuUtepDq2XQC8cb6nxylwT0njXdpaONTZcsYLDZquufeBY19bpv2WLTWNY5jdUGi9k3P/kRU
iG5kw1tY2WVmhRfsmdTFgBqtkQ+quXyc0m6vN9amqshCYLcoE6TaQRY9BaKE4q6ppgtNL/eKbkZH
JWBrFrIfumkBTfhUqBcNsq55GNjkpRw8yRvanruky9EN4GlYeE73ZOKY0uHjJCXO81h7swmwKbr6
MW2iHdTiI8/bmOY3Zf3b7ilo+V5m9Muzqj1FVlutPSO9zWmKWMSmm9TQTknqJgx52fSVg7HGd7gN
UtsfdAWc7Fz6Arsf6UAE4k66zN4lfbg4IVHaJMF4MRbTW6VgD2uTlw48r4QI8Q2gzE+Es+r7cNVE
SuEjpEL00Pt5xiEBNGAryNMSwloTFb4JhbOO1XHFFo7nT4umJRzn9ZgX+6kL901n3aIUxNbXka7b
MrYk4U+JBuWi0MlSUFFpmGxbtXKXKd1hZnPQNtVr70q3S+vRUI8HYbKCzFWOv+9K2tMf2/bvQ1z+
vvyykE/rMqNNCqg/q5a7oWmaPi6Uo5ojW0sXZXqtIP/49UWkleKvRf8fZSgabZaMBvZqQ/+kG0Vx
qdqIXpXj6H5pkH71T2OJ33iZ4+z+9ZV+VvB+f6VPpo4yKCeNxFTlqJM3YzIucMiJmXelfZ/0zzFt
+K8v99N3j28TJlOGX8gpftwN6SjZ3CArw5NQnrt+X4evRfb660v87BVRLVMscxkmZp8uEdh4872p
ik4wh5Nh00/TKovoz8NNjFpA736TLvCTV0SGLk0L+1aWXfanjkGqH/VJ7eITuLNFbNSLHmJe+pvX
9EnGLtuSHy7yyaLSBkpn2QEXSVgydc1l4kXLX79rv3sZ8s+/k5aIbmYzAB3hhNrTxsyUlrcBytFf
X4Rx6Ofb+oeX8emjqVJ4aSJv49OoELxt+V58Ak7IA+7JYufVHvW+/c0Vf/ayUB0DfGCMaWHh/vFl
pbGbx0WixSenPtdq6FdEGAVff/2qfnYNwyatGIA8E9XPBr7AMhTbFU1yKtpoldsAF0p/yO5+fZGf
vXUgcxERELPs6N6nz6ccIseJY5JjmuqpsC8jOsWEh4EX3EB8NpGBDsH511eU99SnZxCPuL+u+OnD
wvaETVKbUFcj7oC6Bi3nNw8D7cd3zkIxZWmOyQyaPbHN9/XTw4eo1CiNRi0/JZdojnYcngeIKCvr
HF1bPrz2NZEo61+/qh8v+fFk/eFVfbokuvl87CqRnISNL4qVnA7hUS+3v77Kz9879t8qJ6dly+Dt
779N9qzZTof56wRl3tcR0jLI+/UV5Lv/+dNhu8Dd5qHFQGDy4xUqyIJ4C5Tk5ND6Tq5OtfkcmyGq
qeQ3r+Vn79j3V/r0gKMjLhs2fclJs94j92wFN/X8m8fbzy/BkoSMBb5JzqdbLdZS4ZpzmJ6K4mj1
I2Gl+kLv7d8cdT/7CnGz/XmVTx992oiom0KuEqevmYL/U1k15tqCRp92JyXdZNZvPqO/vSwdlgQg
OhVtBTpA85MQQvcCp8qdMjt1YlM3YNJW9Xz969vgbzfap0swS/v+RitIzzLsqM5OwwxqX4GFmli/
edt+fgnplIF85TFn+/ESyTjmCumk2anNXpV5x+78Nxf4263Ma0CUgmbJYvCGHezHC/DodAatmPMT
dV7eY3dJdjEEg8J7/3iv/tW96vp3N83ypXv5b27x1Uv+/v//3+G9eX1/+/uyUv7UnyNZpquS68iu
Et+t3C3+NZLV/qObCI3IEQZ79n00owE2hUoYAxWrSkITpVz220hWxhxDLEEFZCAtgLX2TyRFmK+4
Bf562n34qBybitFF0aYjfvl0DxqKziykTtOjpppdc+F1caX6schNBW9E6qCztBG5+H2d1GfNSZc9
sBG8f9txt1ODZFNIA40cQXXuPVOdalHF4hbCZLNXx6yMHgOpqbc76FcThSvRxVJwn+I4SfJuW+kW
1mNk+WU6HUclE9Qr+kvAjewDSN1XSPkLe8RCi7h/RORPrtW87t3xHuPTm10515VR8g8Yc7UNRwtp
qFtuzdY7kxP0VZSNvmKzxgxJw1lQsU66CzAbKKaBZkWdACWM2tHFkDDkCfZa6VEIpVthbNytsCsd
VOKwDWz9yZTOhqEk+11It0NZ1mJFMZFsKyMHu8EyD21GgHmhjh570JjLwqrSTQi+fjFLcYAhZQJs
81AMDFI8gPaSFrj+0BTAuASrIoUGUaRWq1SKD1opQ4BeF147UppgS5FCKeUKMF+tYywlDKGGmGFC
1VBLeUMkhQ6FlDzYNZ5dMu3adfShiCBTHXISKolAyiWKj5zjCJXKJMUUCE7RVSRSYkGGsLF3q4bO
L2dlFfI7FHV8YTqKre28lMnyWh9SSHZOqn3RasNc9j3hKXWSHCLRL6AtYYdDvhrB0pI5Y2vVys8m
TKnBH6cSyFyTvuO9e6jb9LJUMWXlzrDJWPD5IL8PjaccWpgfBGfGS6vKrseouKj05klX0stkgN1S
6/mtEUbDqovcVxNrA2EVV0U+4iKJOifFqTbF+sowhAEfzYqS+QDguFio6bBKK7C5hikCptrRrs8D
ZG0BUwfSfMmxnsPXeeSxG6hlSbPNhLSUsh/LKyLGvdYrk+dGao5Sf9S7dmlE46rX2HXm0104duMS
cq/FnEwk7J0Z3UP5u+rsIV+6qoVtJcxj7AghtiP+JgC2RcSoxaGB8lNVehUtj8zr2RQkDsZiqY7q
lWNBEk8bPF5TBX5EZYdsx6PwmcLqqzgDVqrm+rM9amzzp/JmkFRibwKYHxSts6jJSvBw9izYAHn4
/pz3PAjfshJVHd8uv0smuA8UNr2FCHwSDMNVVNh9O+WrUpP87nLw1i63vqqZJOipRLksA6ujlFMY
COM4SpwyvSjarrz99/z4Y6vHkf+LrV7504UeP/Pt9AD/y4yCBx5iEipeSeb9ttBDqmojf0EQodnI
WaRB95sLl60d4hd0rHh0HdwTlGPfTg/nI1TE9TDh/lcF8w+WeiA9/3Z6IHolbleHFU6Gl/Opgm1n
atje6u2r0Cjmy5rzqmJ860a1uVRQcKDbn4NeR3MP/j1bul3glGykcvxifZx8TOBVNAt9rObMW0Ou
ERLbPSkm89Se5wfR8QX6F2MerIxncMdk+mHocQ8uZzUkqnaRQqSqdq3ZECHpCcsez9CGcVRFShmu
HYtwx34sHlD2wxvBLtlJSWnbig75DZQQ3H45QwWlXQe9epsU+qEpbMBUOfyiSb1Gf44bUCNIl605
/tR8X9TBpTaM9xPUBmhYyCmrKt/01Q4JIuPXkK9ObCexnzodhs/R4StDljvPxxnyyTg/5I530lSe
mBk6G6VHElTBFVzQvhFOn7sXDeM/XT5X4l48dqyBFpAByRtRLYbw04mw+2k92ALoSe+BUxB15xvO
PC7TjnErjI15NVlMDV1VX0E9mpawe/A5u+JNMUfUEDHWCxZ6fh5ob+NIemlvtWt4YNvYYqBO4sdl
4uqVj+rlHjQYwQb1cNn2VPEi5mGB3OJGQX5ZO72+DlLSxxRc10ETVDuazXAxmuVVopfXdT34lOf7
GLtKRNThQiCO1Jx6NfXZF3NCZNJEYtkZrEizFDS6iaOmCi/MIEc/42IAC/CpsOhM0NSW6dqdHKy/
BnmxCoLNNGsg8kCo0sLwoUfgyzjFw3Q2GfFSscPT6ACnMb3O1+ruQvQiWdRq8xCWbOfm1NpPk3bT
hePKHik2kpGwgyK5DhFqENW+TJ24RwUzxxgcp2xR4VbYNmkQ+eronXigOyu3Nt7LTGu3GlJz3Drl
laURnxKRBloY6R396j0584uyqo9KVDHV91IdB6iXkGeaYHnO7wfHXUr2Wq8aT2rVo9/hxBdDdjOm
1g7zJqINufqJXGY4U5tg3VX1aA9tCBqqh8AmGoaHwtGRxurdwxgM95rZ3potZ2/YzBsQ1MektXwl
YfNodXgUWThgtx783kmJokk18HNYAI2uvwkSzENlovWsF8Jd2Jrhtu7q696en1hcPdcWeuYxBnvr
JXENqdTUfFPt70TMWkdLQaiVdnShKOWF6ngvBSrshRrWuq+X2g3jonXcmLdVq24UozwNajzQeRo3
Jk7+pRupGF3IvQwj8xA7leKTlLEe44w1tlNswLO+5OE8bgG5bnsBNFqJXBjcCgpRCq5y3XXFU1Ig
q54k1i0bZ3fvqRPOcI3Ztzo3l7GdrvMBe2agY2QBMmgvbGVYZ+101DSTNRW02rKpr9Bc37GSiS5w
NxH2rY3vaexdI9VxFjZaMOb8I87nefo6CCTSQgCtCkLd9BlMoApvJZXLgVQTZP0N8BluHcp2cKUK
dvUqnliRlZZvlkTgheOLHXXFqrOLYjXaHrrX+qAp5nvKMhEfT2ay9Mfta2H7BXrxtcEGHJbxdppL
tEvSH4xR2JGO4QrrsCo9xO6oABLo0cOPurkLO9h9s/Qca3py0DAhT5iRJ0zJgA/ZyZBZlCW7CNNy
ENVfO+lixoN/OWFrtpXqtpI+Z2OigFSl99mTLuhG+qGJXFs50iGdYJUupGfaGXBPZ6jJLOmnHqSz
OhbDvSe91n2p8J2W/mugsE+jdGSPiOFS6dHOXaPEIaZjm8fArQ/vg/RzA1SOV8Vk7iM7fxon3lHN
Y+E0dDpMtfL+AyZqtJjUTAYkIcbnKXXY5xhstdry1dPN57lRvwqNmwEZ9G3V8IGBgSGNPOsIIQmL
el3nzklAZgApSlRgOCjgDcUVy9trXipaj+g4A29lQy6JOEIhiRBagcPhvoxcddeXRO9S3o47c7Bu
9Cp4jBwwWk0Wv+cDK6/AHFCMMyGQqbx3RgHyiiH5zFa5EWwG/62SPqokWdb87ypJhigsCB16ad5+
KoCSP/1nvWT+h4RgZh5yQfERfPBXvUQpxczQNlW0GiBDKFW+1UsWfwIgC4sp1qsfo4eM/8AFlZEn
TLipcaiy/kG9xBDxU72Ed0waVh0LqgrlnPppqOSBpayQRkVXSurqS0uQzOviudjZgiGjaAy+E13d
NZhliB92/DCdLY7YoW6TuylJk5U3o1G4KhrdXML3C2ECUpYJFJpuOb30iKYl85A8H7b0nHCJDq0S
tRg+cgBgAMpJ6qrnnap6TdhuukrJohu3AyXQWFgXF4VCZPGCPIXkNi8zcWfSR+t+BpuTQBOm/XSS
SbSuQHfOJRGZpJUgasxIPbovNBbFiynpxH2Vey4Nn1XNk28WM3Z7pa0LP8W9fjJSUT0ZeZ08KVZl
bcmaoEzSRBYcHVUL3UXmJjEZ5oSlUaLMOaTy2A58r9Q5GdXcz42kP6iKk185diGuc2pKnN4pT2QC
jsS2VwILE1PtPuu0hrPvdV45szbvbYKC3dhy/ITN7bWigSVEj5zHW4zy82uuK3zXQ3NqC39Sa6vB
euNZCc9/0+jTcucKo9sQpD0p7ZIwRvHUxY2mrVIRiJXJ8RkVK3ZGwWyvZl3MokIoasyzh5jX5a9N
VRNuHLWbWYALop+8oj17BE9RDNgaGayEeN/iMrryjLYa8G/xbp4KJRRkt7YqPvvwI2cKIy6ZU66M
n0qzVr8dvT4Dr2xLNio54XG2VT+wqYorEao1vdwIYB1d1Ls9uOG7J0mstPjBOosjEK2xpLW2ClyP
XGmcZerG7SOg96o5EoPq+TY5Ef8+uf7o7xhM/+8n16EsMDO8Tz+ZEPJz355ZZKKh2WQ8z7pBtnjf
9Xg4HaAcMx62bZs4e6nn/PbMsklOBnrAfoKlC//atwbP+g8We/KUWdPqPK506588sAhm+PTAIokJ
u6sMacaTytzu02Q/rzKTNbZrX+XGLNbklZnLUnWeHKYapdM/gIG4S+dzQIoQIIaVTqpQ34V3gYwZ
Qtxm+BXKipoEIuxMpBEZQ3qXy3giTQYVTSQW2R1iS7y/u4osIzUsKHH6Eh1oA+xfBh7pqvasyAgk
TYYhGTIWiQItgDWUgBSBVh+EzQXxLPEiMaKHHGlOMXlPM/KdrHIbf4jrFx6cZy8yXhpbexzFpPt2
Nx5gQJT+FKU4hOpk3/doIi2yUB8m1X2OoVzsC0IFVtoA9V+tkru0z57VyZl3Zo4GqwWyabvzdq71
Z9HmV15BtIDt3HjNJp3VVe2VDI2S4a6P4ic3VraDWj60jRJeODqZLa3p54W40hK4odl0NU7xlfTR
1ZNMB46jtxKnFH0v+Bl7uPKkZayM9Z1JOm3dLaIJ7Zd+I2l8SNy69ImoX8q2Ktm07SxnnWKZmQiT
OqthypToiG/MYFFabctQ0yv8YMBCESiXdl4O27JzBFC+fjWUCRI5+xLYyrw2IUf5Isu2dZm9NUhD
lp3eMrtq1E1jz5Fvif40ud5WTTgt1EAUm6hA5BajAyUkmc8ebZYVEujgNF/UeULTr7JVdedliahl
tANP8osukd8cs8q7yitzaScWPfaUXA5hBDnVWTrWzEFoIpnLVABAhTSjEYQ9+vZA4HOWwgjNHKJC
gf/nPPwrbrbYQ1+Zw37pnBeklTswTt26b1GoYf+XwuDz4NgkP2usw2uDUISk9s06uS40uv2IT06p
jDviwRd1njUrFmnuZa1ou8wtD1UyPkNnuI/a9ktVu1jQh0lGftsU+knP6K+hpUqTbiemrlwKqNZ9
zLBvZuQu/STnoDUNPxXjNkeDv24YlSxwIQ4LDhdDjxPAPSgXseKXVXU0mwhLqrqxtAztHp0g7EoU
d5lxk8zFM8jvfacNh5KjZoHC9wLG0aVKXomeAzTO1IrTyv2StOHOi0I4XfhobLe9Hdr4puqVO0Qn
O7WQgdLmOyGqu5SoBCx/z0Wb3dlpzZs6D5em0eyNvjz0AkwCyrVzlovNGMSXZm/Dshm2lVfuNLne
m8wtYryLkNSnRTMZ+wr869CqJzUys3U/N3RL3ePg0G215kxDSKJnT7DpNDsXjadfW3G1T2OxNdOJ
2iHL+10ioNCqzQFDEpJEgVyZ8AkE0Ddt2T5QzO9Jjz30kclxPV0XaoZNlS99mkVrVmcPYepsrLDc
5nbs7qA2bWwxyFiB7mAUHulKjsFIOtwhnD/nisAJq9Z+1Dc78jAe1REcpatm2dLT++shsi77BiwC
iGNMOnP+yOG5dXq6jKlbEr3IWAmZsZHZz7PrbQaFwbRHgxmLpwKIQmupX+c2xMbFUPr/2DuP5cit
bU2/SsedQwGzYXZE3x5kJtIwmUz6ImuCoIX3Hk/fH1inJJIqUa0bPdTkxKGkTCTc3mv96zcTiskQ
+A5QalKy9FIP6aISp0/0tZObrH2DYZxgDYYZt5Xspd+eIkfdDU1LbJIm90EQHEWX7D1/7BdQ1A69
h41YKLPHjhSohVIlZ4oqN2UuzyqMiZFcDuu0VDU3NLXbUGtPB9zJjVjBMiO6muZbiML9sSDoIq99
jI16FCDKt0HtjoamnakxjkOWjT3Y2D/oCgBOWPhQVEuwg4Z7UWnmOmt9Aryd9HthGIdRAtxREG3j
PNrEWdGvaku7hXd6UtbdIggY9NTKRYdee6mLa9tv8VydHqPEvprAlU8zsywQ3XiXRZodlNn8xCsT
V0zmd62wNrY+12Aof6MGP+6+GvRtDBin6/5LTG+L5XCuIvMaT9Hm62tNK8y1GhobmxoO34ygQLUO
KmH56rZO27u6D69KQMqx9a+9qt5mCqAchfNtRiA553xNVMy3pgy63SDOSVJfRSqh2JE1sqwMG1Pk
x77xr0N1qlcOgVsK9rDN5Oyq2iJsV9tWvuTSaEelrLJFAO20a/UrEv8cV2WWsnKqeX6i9ReFYR3q
hP3eBc3XE7fty/DWTMOGxd+y93oGQzxFmrcOSmuRllDgQ6fj7QRdReuwsCpOiVnDllZ3Y/uZPEc/
7UDT7jJ3UkKcnMk8W/gdQuauTR873LqElUVrdhiY8HgVkNc5TwN8ZlbN1guQXA0kuy3yTnYn6J3I
HVbG16yqUTTgIxePmPIaUaUtGEMgn0qSb13u62CNVgVdFeGuFtS2skgjCw1b6p8yTCyOWak1d5Fm
I0U3p0phZNebF3VP8k3iTIxJ+kRgq8iMUWMuNyWrSVNOEVGcYPd8rjvxWgyRa+to/0rv0i+rfVvq
CEAM0tESkkcyrbzzelRKsCjdSqtxVI1JrhdIlI2meeyiluBl5154xqHrYfQjQMb/fN14JiSy+ho6
77hy7OCBlfWWwMQtEpSjag4vXmTssSRjehJA+AzBK2qFeMnJ3NtheiDFwaC3T/FKhElaQINt2aKr
EVq4VXnHCIg2ifPLpo5D3LumXeFbp+YQbpH/Lfy42KUS69lcjVchWXBLKzIuZJ9eNRgIdfmIk3WW
XWfYBwOqxnvgMpo05UB655JSaKMP5a7xJMGtwc63y71fNN8sYeyTTDupDHZaw8Eqv3gC0nOj2L8Y
PCqFEVby5NEhgeOZZfOSBvJUybJlzUM3EIXQyuQJw0689WW2y9XwstIJb9XDpRQg80aKedugXtWx
AkU0Q6pK7gNOe76LV/Xa67BcmM1uWgSuTaRt01a/g2iyTCJtWJuELxkMNikt6DWypGR1j+8So2Vu
aRIKw2BWxnBRWj/BkTu6ldLbGM50rna0JXGjXY89U9Oo+Jaj4wXzw4db6cJnr8q7JfHhLVNA4wyd
3ZnnGyQmNZYLqcEVnr2JZLiToSrXvk+ARjy9FKN51hQaZ9yjpLB0HhY/700wcbD5gDgo1xst55hr
+UkmQEITh1DrRr1IhHKaNDSRim+s6xo5imcGeD7UUFOD0bo3ezQfkpUGBu9wOgwOxHtUdwPBvoVi
3et65K2LsLxTIVMvVKtdx3WXQLflrB1P28p56SmRB3S5DLZ+hQ6QmfGhYP4Y+8p0VPRqX2h+udKh
7q/KKgXjGmpKxBKVPH+N5IxqXXnlh0OxSSZCwW14+2PTEnow79qmuBs0XrSI6eOqGmDRl6M40+Lw
DOeCpYhEsLODqT4lYWo2yjG+6fj/nfSVdyHr5B61jdjOrzuJDwwUM3ZzGD7GvRPg6VCICyYg4ak0
MiSvxc4v1Gsda78pN1Xo/i0QbL5S0/i09NVNawuyecz0lck86YGGDgznXMdNfhKCTcYMMrqEbJ5a
b+5GrbyUA2lNWWGfRZpPzlW0TmwxopmNbstE3ovBuIT9mu9NI8owCLSw/2nE/ZTKnSRCYBmpIehx
xxcrpbbOtRBXjUx02yjB2aBG6YVRqEhV42rQIp02oqqYM5HZIXSGCIaluLoWelO0fNfxnf9gUnxB
aiYJTFrSwhGaPR6BnfqpgdJDVR10PQuPUQHxJjvU07CQ4urrg3wkcYB2vR3E0rDJhUFNK0kX945i
GnvEvCh1HR7VcadkYCQBxlvXTX/99WHoRN9xRf5zGBuSiIA0O5vufjyMB3BEF6BSuOuvfX6jGH9D
AP/F9zOzxPcI+yMu1+drVRM8nedWmhyzngdt63gP//j3Yyatc4W4ULOu8ePv9+15tGSW6dGh7zDP
zf9YK/2lQdQnfvSP2/Du+ny616R3aAweuT74MirpMsZfxF4hYB5ekmj19an84lCkF+Gg7ggTHqT8
dCsSh0kHgd/xUY22sPHRDxeMgMSSbRhv1a+PNf/sPyhCb7f9w20BbXj/dKlamHa2lSTHggDhmopu
yavFmjp2668P9KuTen//P51UZkcSEvuPAzHPIyZpCNbsI/NWXPzNszb/6M8nJWcVwJy4YOj6TGl8
98oYZqbnbLzZsTbWXvLQDa7pPX19Or96nN8d4vPjNtWkrvrwUI6Z8xB590L5HzzOs1chmbEgzTDM
Pp5CVCZmIxQ9O0asgIyekvF/sHgx21etmWumGxjbfzxCpmTU95aWHyf7obfP2nlW3fzN2vWrm85D
DNFHzG7jM8b1/kbIICWh2pnSI/omlJbzrNi86CpmaCvmwF/fkV8cyyF4FCq5TVYj+NPHYwWeA8gW
mdkxmHtql4SJYHTtkmngRr98O9S/lMiZQfjXkOfZQ8FT/IKcoRl3z//9X+SvGkw6+MzvcKf+2xyJ
xQYC115A6/+D0oJJKFR/ZjTQemfFB+/kT7jT+Y3JDS6hoKTAkG80yp+Ip/ObZjLvIXph5lmqhL3+
gxGNoc6LzB8LA4TIGVNlFYJ3CUuGX//xGanKOhUmORLHoqjRelFiLCoJsaowxxstKjfeTEHrtXLl
Fe2j2nq4SQ1YgQ5ijxVGwoxduZFduVLN8WBOKLBM9KjEuTeMx8OjhcX26DnnauJrS9pz3S3ROsaD
PPSGeZqn+cbx5baNdBoKDNEcCxy18kmbhVV2ZZl5u8Zb6UWxsj1Kf6QknfAPtkViB74P3sIpTXfU
GZNinrVJjXCnmlhFFLpzS5zqOYX/0YTfuWirrEOl1yW4/44bb4iJZTHlRRL5Vz7lYWYypB9NZON+
kqtQ3MRLn/vRYZra4iFrOM5odptJqfylgf09FMEtTYu69gcNyCchKruhBsemxC9OWnKbXb3o8bDR
cYmIg3IZJiYR3MmjT9RNM/LTi67etGWFDC0nuGiYGBnbKtllfbzF1M4d/EbiHRKsKpFoOxLZ9oaa
hCcaRvceWC/ZQGqx9GIQxRjDF9lbV6UWWvhFVs0S5JizkJU4Oom1y3oG0fkkcRmrzWQHPHdmYZZp
ZFmzrBvve+0715GCZDJUjK0YvReqlIzY0wHNsZWuaiBd9Ay4vilCbPPAqyHcpeo1WChC0MHc0cMN
K+EXlxA4twjZ7WVgokv2mWgt87D2IHjjtkPwU7QoIrkOaQfcKQhH4lRhAJh+/FRpNGhdqUH4U6bZ
J0dzkG7G+GhirEzkQbBSYLOuu34OJk7mjOIY3+adNecW+3jpLHvFiXcFocaDTbpxRy7jgto02jS5
mZTbqvZz78rBC/9Es4JnX8mJOvVieTIVAe5mSbWrSv8auBYuR6NvhVI0S9Z/tw5a0+0cCv4uy/eZ
Ux3qOn3Nh6xaiKmH6dvdFTXwENSZ21YvSUCASbbsvOIOYzTVJav3tM2G0zRVBUY3EW7pDnEFOdGz
vXmAOsIrodw2vaYuBXl5TC351b442hBRWwLbzRASEZYC+QIq6gZ+12liYfGgyub7VHjHTo1v5AAK
nuJ45+slfBpcshn2laFbRXm9DoOMOKn4EPjKckj8wFWlPGSJ3DZs0MveVp5DL7zBYZ18esXH9kVX
n42wuO1iZ6VgHreoMN146CrTVTTlnjRYVOONczAGaAc4nsQXViy+o3zZ15r9bE/1ntb7bNLgcIQT
kee5eRzyXD9kVUqmM/hWYVt7Y6iW5F2pMOOCy85X20UcjgS/XseKK0ZnX4Sk6XYExXhBWC0zgnnC
DlfCJk4u8LxQoNlU94XSXEYEGcKNmc4DE08Fy2hWRk/KQhi5imJtp9kAg9EuSvgK8WZFhmMSyAOB
uCjh42NI7GoruOs60tbOJgs4Tqfv0uqadYP/j+VsgdLIY1Ki2aanPG37aSeL8BHXA7K7NA2PvF7C
+I6umsR8lBUS5naoQUxL+9ZXCBfQUo+XOA8YCAcNBGnWQiKek2FTZ/qY/pAL/rvj6hTkX+y4L93D
86/2XD71+56LCEFFUKDiS2Yg1aMu+kkjZcSIgxnOZ6wFDgwHtsOfey557bplOcgD4JLOH/9jykg4
jGq+aQYcPGX+2ZDRMD42GG9bLu2kKWljmHTyKz5uuYSeFYbpheMxzM6N0Z4drkC7h0beDBOJTepI
iJvUs1NnSi6dUTyORaIsbeiA+B8nbF5hjbdhI0/qWB7hX+Tgm9ajDOJD0srbaSpvjB63rNZfl4qF
/RGiyKRIC7yrLH0JeWej6ukpWm1U4l4nMSkBXVJLzAJovxjCxbcWwoC1QWdKpkHJ+M0jHFA37+KE
x3ycHhWP3FaW0W1ftjdx2JxXUpyF4DwbxEtXaTyQ+zn4Z17XnOT9TBBQ6r3mAFMOGD2nQ845T6uI
ZFCID7vWCdYgCh5WEtk6C5RvbQEkx56O1O+Mtm89CdI9Meb0XDjfKIqxZ4Ogty4dfGkMvEMhgTxD
iTzWsWYt/LAcryYlhaPuYQtd1MupHNj/IiNk4xbYNGcKrBLFvE8nIhKt3rNhq6vJiZ2HclX2Wg2P
1yMdM49WTj/PFueMx5HKpJfTwtBgvuEfASZo3sJKwzHbh/cHMNayaS9aM4f8OlhMJm+0vgdawa+m
JAITu6vATWCLVEw//YjtBn81sfJypn4lBnLg625cjxs1GbZT31lui7nGgnTwzaCKbmnPVBYPBwZh
F91szfJSROYhUWu5QGz7fRJUa0iHAfi89qbJsu8h3hSeiUtNkkPmr3dj2xKMS3CMFWVbnNkVN4gL
E45qd5Az6SJmmIUe49sorJO0YLqYmuNDqZnljUjxlEgFO3y36It+1+rDZogiDwatB6M39LYoVcnS
LI392MbaQipYMowKJnVT6twqHV4lVqmse6njcNTBRYbB6Hj9bpJmvFDzgrBvP8PNVsGdrCw2YRjY
C9VGBqN7a6NF36+g36uq9nYCiU9M/TU3uGYs8Heqw+jbi2+wirj30+p8CGCuDY0Dw3W6q6ss5euD
LQM0e0nyjpsNzUna2jzN0XTXYYYCqv7QjKFL5NIexudKC4t7K+yblWcwGotVwO6kSq7ZLm4CGttF
0YqanxbvcStyiwn+dWPfl8hMFhBuDhXinCkQG9UgPAQzmo06YqLTtt9Nx7/E935ta9kRgf5xKFTJ
OzbpUI/hRZdWdjrF3Zlu+Os4e47htbYgem7de5s87OeIHgGH1RzPQxzCHZX8TUkcK8eu7yZiHpcI
dh5SjywLU42bpVoTIpP4RK534zW0lnwx5ImNHMW+xi55j9nE/eQEh0QOF4ZOOrsak1FSymcvVbfw
mHiM7JJgwpQH0Jv9SQbXi/QXMxIFL5R2zWN8ZzckoGpeftaE1kUtjWc5jZUbKZB5PEY+aa2JJaxR
UnO9zFwkVsD4u2GeYsZDcj7G8jLGBHeGoknX7AjsS0cN42JLPg5e8xAn5bmnVVC9bdNb1b0K6Xos
JWWNuS+cWpxPhrPBvT5AwtOV0VWRaU/eSKQIxLGbKc9Pjcl/1JgSQBcat6knFbeJ9bMAYtcCN7oa
SxdGONjfvuSFPbktBrFY8Raz7U/Jxk540cKSNqIRM6mWnqhOJ83eN7p2ErbaLgiay4pJEyYpENgm
cTa0yj5POcswLldFE6hMfxRB2qu/ioK0ZQIrfqBg/275Mxz111v+efLw9CuT1PlTH7Z8eLH/YQ7N
be67LR/YkP3eAsp9a5jfbfk4VqArVJHBA8R+MknVaLQxkcOKwWYL+kdttvwIxbzt+RgIOnR9CNZm
6f3HPb8bewppYffHBlf9pWiIAu/GS+J2SMCR/jHVyuiJNLKMmCPjGioxm4eh0LzY/asSqGu4TwIi
sMJwjbwXbIuZgdoMOwlTfqx8uq4hsTENb7NLIROfjTj3Nn3nHchyI+6isB9bI7yyuulbQIPDXBH6
sl6I5UAW8Da2ixNjbv5Te+ZFy2w9JfoVx1r1jdYuKkjDUK9H3BEd2B8w/w5NLG+AnKl8Y/85qp2D
YJSiiuEY+PU2t1kcWYAu9EBV16TqoTwg4XfQmbODTGLVqZPkgJXLvE4sKFeWRtlGO2q5kD1G22o4
261lg10ptYXjtgjNXCP2NhZaiEVupHLrFeK6kpjWjXLVGobbQrxfYAUdEt417jCDFcsmCxwYD9Ot
KZ+xAV9V+jA3cSd219wRWx0uiwgPNTEH6LQj9Y3VkaVkDuNLp2ITqtlr21BwY1ODW1+Da05yCCQG
JntMoygy5qbNxmHOPpvbTj+vbmEyPsKq2iMYY2w5rSyczspa25FjfKGPMGB807p0uEJeSDaakhMF
lCRnlZCXVqg+xsNEJLkqWSbx/YRJ1N+kuriPwO31wiaOo8vEumg1DC4Ge48N9DUpdhnERfU27CJc
KjPiuAzvphiqM4gvmJbiDVonCcF/wfehU64LA2ZEMFw20lpjVHvXKtETMg2qLLKKllWBufY0z+71
uny1x/FKbYknKoU8cJtO+8hmJodGSLzCOXA9fQ5Ba6d1Yef1ShezHSeeW5FDi+rbmymyzUWV5d+N
zIL8Wo9LEo4eRNvzfGlwblIfcWzX5KcQYZ89nkhZGSmmuJhxJdZJa43b3GqeO0VgphAY1yZNsR+G
CsKq8lxT+wYxBrlwtHTBolLGaKUE2M6NhjPLiuLbqOEiTRR5C5NteyFS/bKxClcWKf5caSVdjJQw
/cSP6Exv89uhxox0Z/DO3acgRfmsig18RtrEsaGVGIOLsa/kziNNGU1qPWwQVqJxbHuBQliLkPgE
LP9K8QpW0kjYAGXD1hR40eg2aVxON91bTWiSA0+15nuxuMo8gwqLOettKKLcFdSUqjSJDaHKHDJB
uTnXnU4U4f4hN8iHKEk1x1lhF5ScMKm03RRHKogExn3emREWO7xuScAjTb4d4Sg02iHY+VIJ05Xv
yOHKKaiAc3g1QzA9ozPCL9Z3VkQ7r1Vq6TZOKaoHyH+Z5QRwY32mkPbZIMQCWiC2T863kMo8cPC9
bajVITDuQmr3ClZBQi2fhO26mOu3iSo/LyDOKdT9IsiIXqYTiIV1xdXVSD4XZ3VEnUbPIOkdKkNk
sH37x9oSt3lu3KWqjXaXfiNKSBwsy2maWU63ZjDr0SY6d8gcZ/3csGRz6xIHyalKL8M/1dHtoPIv
GxOIgIZHL7FjMOLXkU6oiOzbogwPSSUeqxo7KjW1jxa9k9XmKqHlgbEwKPuZJQOWqJ72qA7RpUPv
xc2jCYtQgTaxfZN2Xc8bYjQksTiByyh7Zc17PS3eRPhgucobXqaRV8+mMKgDfVfPlUJIyYAmjbJZ
O1EpJdAdn2L+iSHWXGUkxI6RFkMGoxFiNdvaqIpFqk2uR4GiBCTd5bKM1k0rQ3R30ODneqabKxud
EmfyvQdlTE8DSh9lroG0YXwi5zO6GhFwL6se5lotwPNGFCy2Xz71TOogUIEeUrTchI61D4riKST2
eIllYHoNvLVVMv0Gd8R06RXcjcT2yI2M1ZXjOSwb/c5OC2/lWS1Gy+wORYMkpQfxSROeNThHPQWf
6pN/UanaSJ2U+JkrLCgTtdfU8rueYvV/+Hfs8DZCmAuEv66ILsPuBSLL88ufZw/zB38WRZr4bR4y
4bqgolqdadM/ayKEthZAB9iD5HBIwv6AQTDO5fHDF56RALm2BNf+TrY2fsNcA1sHBhok0QKg/JOa
6M1o6P3kASq3pc9xzdKyiKP67HcV6BlskdZAhZqXZWGfKgl2fxg8C7VO1RW0nPgoW92Ioeh51CGQ
Laa1hqLR5m3FGQAXy+TY5qVCIiem1aaZYfMcK+Oq1+tsT/GfXrHx9sd2EMVpFjb5U+M3/Yme9vGV
0HqSLPIIhnAz2C+eHoJwC8dba1E1Z5hjqfud6oVeTel4faq+WFBXbWJd61dTkpmPZHdor4oRTpd6
bYUt/oQYQ2SjliCAl/ggWOVq0COd/Ryzc7ra+DxNW+9aRzpx2b4JUdTIjFGlJG8SFQBpevzqh3ZF
szMfJYtoVTh1kOjeVC7jm+QFY8juoqo0h9YQwwcwhDeBjGUVkZuaYRndKNEsoSm7GDnNoFtlBf9o
ltmYs+IGaZqxE7MKZ6LsXdkIHyoMBZ2mIPUtM4OV2lXS3HeFUT145DJhCkGnxsaq1hQtZWeNEI8z
wyDUqo52I9RJuconcTlpdWdv9c6kV7WjpyZKgpOCkPvpYELi3jmlE3aXZLFr67Eys8lYBjyY/SGV
yZgpm39XhLcVYRZK/PWKcBW+YP765+Vg/tTP5QDlhco0Eesdx9TNN3nFz/UAWJSIaX3Oc2e9mLud
dz0SMjEknui45igmyRf+HEWSMcEoHrmYOY8Q5wHmPxhFotb/PIpEw2EzGmfJou0iB/FjjzQZQRro
eageDYetyksnCHra99x/5j0kXwUrYeAS6KHzWiD1037GUioKcQtwpS0LNAr+JQm53wHglqjqgd3j
4C7DTZPV5dLInEMx4zW1fa/NUGACkDMB6DSmDUtuxnh0v6WEzq6ZRWK+J9VkWcLsXMEPu+dtWOEm
vjdHXjSgownivgaUpAulXOIDdhKYmStntCmewm3dlsSWAkRpvr3tZ2RKYAw1AFVFbL0T0BURD3es
jij6AbWUPvtWAnLFGqbaAtgLh5D1BAwWythecGabQgKf9oTgOSE1nuHN7rjAaA1wGisenU6G5zdA
W1UDso1Ab2WvDwAao73DGBfc2BP7SE1ybAyVLWWVWJD14CEhGze5GHb6G7xnXfZFe8ksqbpJAACT
GQm0SufEBxokr4MgD7DCQh0O8Dtxl/ZtxTUBFJtOiZYDEKMAarQkxiIl4OOoPddAkT6Q5OiY2G/M
KOXk9N/jGbdMSuMA2e3FmBFNCbT5JtfrZ7RTEWRKz/gnHbOFTf+4jYBGHad3C6DStuaa+TN62v9A
UtEhAKs2Q6MFrodtP0mDoTnssTIfF5Mo1GaXO4h3GltCISStHIF8rla2y4qPoK2ujUY+EEHb76LG
1JuVFeMfuxiMfkS1wtAJ8TppU35Qlstibofaku47N56yoCoXiif0FSF/ARxtEhWNXl31U/1kea1Y
yrh8nTM2F6MXrcYMOxt7rol8M760J7KXbMM+UwIShhs0MmiRKNGV4C4ZxH3mDCDzQ4eEIQ6WIKrh
SpTmc1TUr/o4vExNNS46O7n14RYsYLIc1A4ZcFzr+4rsQpdGxHCZ6NNwE6hhyHgrgureic1mbRCV
De3HuR8bHSsGYUUAfv1z7YAdQ8YlbyglQT4La4fwD0l8vI9o/T7pVplP4uMQPYsBOlTK85LBp46n
PfruTZQXF/jQBGDKw00x5z5YTDqTgBxkIWFDqtY3r8Dh3uSfOFr/zZ/KC7KQlqPAl7uv7zOswGl+
FDxtbXsKV3zVMAOt2BsECvYEyUJRAmLXq4FWvQc7xzn4sh1zfxcHxGpa2dlUFRjJFq+UMxVgb1fh
2TDG1Q9207/Y22z498W+8vCEpzgEl19EMcyf/H1vYQOhmENpjEHmj4Ly3d7iWEBzP/8Nn/o5csO5
xUCh7MzlH6UlXJbf9xbnN1VzBEFTpmNI5x/Wmr/YW2woUPOvw0GGqeBnazgj6jLav6E/DonD3J0R
3Bq2b+QW0TxSGRpGDXFtYEUvuvs+SvdFPciNpTo2TWIYLr3RJ2Y9czQyGSwX0gRoxpjZS0sNlT1y
1wfT06czQrxeeqskaAda+qJIvCujVaxD1uGAMXZGuS6IMDqD1OpGfnDbYPDUqxnu3NI5SRv9BFuX
13gYb/sAoErExzJBdKDpWxmCy8koDRZhahQw8jWkOqORrBgPkS44x4ADjL5EtrjpLeV73CkvfTf7
a3uYmgw90xji+Z7LFNFfrCpnDXXlChssvANimCqdtB7HAN0iNhbaMgEhA0dswhXv2G2Q5he65WN4
j1jPHkW7LNumc/2KZMSDH+6swrgsawtpkPcyzVqn7NzSUMVggHWWgTVNQ/QtLTGKIokoyMzrziRm
Ro1eR38eKST6hUMOBPo4VISdX8NJaCCqtTg1t0mQrIcGF5xSGuWqssarFEOEVWP3YgvJIloaSYBu
LWtBrnLC39NQI8nVw0NHaax6hZZ7GweMbFIylDDvii5RmOnU5IzEohFsSQvNbmXm5AFU5SxhYFK5
jCF4n0D0uczrAfo21NYN8/0dmFy4qowmRFUSmdvWk2N8m/mK7R/0ekq/4UCisKXhds/l66blYFg9
9jdh72am81rDeB+C7hg0RA2Dh9ECN2/tcDWnxWDwYStYecDOCIXmrQns0VCHh8OyJt6dxnzM1oXo
80M66eENVJbbqgmHLRLW7zGJr4gTSSjvRaQTdNVWa310rmXW7wzitYrKayHLw81Bv32jtJ62ahld
uIM3ZZuux28tFXMMVA2jss6YfmKOtTDq7jAgurzmCYBKRTQxrjjJcJ6N4LFO2xfXftk91nAo93as
d0wUg5dCCzAfF6OKTks7U/CYg/wF8z9VTA2ko2m3VetVWx3B11VplQm5DnZ2HetoywotDKDtFNe5
06yaxgLma2lK/NDcDhY4YetRW0TI88gmGREkSfIIjWpYprjguGaInAu6Jnya0LNOmlF9GLxiWQb9
LVNzoo4zdSSXqYhWvpBoIgeh7NB7U4JEPRveVHqr0GmyDc5A8VNsmPU2QZ20mCh54j4Yth28Hbdq
5CRWFcSbhWXK6qI3NO80gNZ/cLrxrKYDYkYHZ5cBMm9m2lVrIgSIe9Kz+qA4E3ksWoxuzxwm998+
5wfyARbx1X6U/a919ZA9hfXTr7YkPvz7lqRD9YD5CnvftjR7plf+viUZv0G5hPFmzfl3wKd/bEmk
2+oSy0n5x6d+tjtgJjQlpkMP9c/NxP7U7HB4vIqxKp2/lALvY7NjJqrqRF41HafmW+l4i/m5f3dh
zn8gKe+lGPM3/IGvzAbFgu9AuktDh/fGW7v1jvLNI2sVQ2Fox3pQwGsJOSM0x3zuuu3Xx/l4Jn8+
zicGKdkKBXRGUzuaFPNaddrbz18fAH7N12fyiTDja2VGnjdnog/2ohM3tnyFvkZtDEDUuVjDLevu
vmi3bXjeYFKmhS8Yd/ikeuQXTQbJk2F9ubdMH/Yfkxhx0UZXfRqQJJD+zaWYOUJfXnMerPfsbiNU
PID6+VoYLpYe2F5+a7twmWvi2NPAkivKgO/Vxnen5P86Vrj8+lLNFdOffgBzRnOOd8QqT//UQ2eO
rzWdao/HsYvInNJklZzGMI2b5ViIslhKmluUxw7mawPBgG1/qYFDM0HK4U+qyrSsoKwwGwR8Wje+
etKzflebJL3TU+Ok91RqJF2JtJvBSKONEUuctzziqLIoQtBb7YqWhbYr11ozrqBZbILp2Fmhm5Jj
NyN1uG1t0Gedp6T2TRE2dHc1wze/voaLejAIlaiINOoQQug9YnGTlLqJyNGoWMWkOBRlyVyN0gdQ
Kxy1ZYvc11ZTlyTBsbyrI8oPzODLPttrjbjAqzMiEr1D93CTmtibGZPh5vK6EdYK21E8z6Exm6Ev
UKyUzkp1UuHmcXLfKCRQpFO1kKZXz4EpP/LI/1I084Zi/PFazpPgDy+++PS69KGso2aop6O6Mbbe
bjptvhkbhLXHeqGdNttyWbmYey3HtbE8qU5w6FwN98ouXjcbdWMdwnX0A0L/yx/0kY3259f3k0hA
JElrp/Mjm8c7UjOzflXB9F0TTPL1o/mrJ/P9cvRpwXPCdEqCgOMoWIFeD8/lHJW0pIPG8+brI2nz
Q/7HJf5xSu9fgk/Ddsl/XBky1I+BsSSNcYCmCa2cQCysa5b+EfD06wP+agXEgRKuHQ7G4Nmfbmlq
pYNtJ4Z+7GGwZtNjp5x/fYBfLYDvD/Dp2tEk4Pjj6/qx7lYt1KleWRIT/Ddn8XcH+bTKykFa0wh7
4Si7/VSeNNa1bn3/+jx+tSW9P49Py+PIXl0RTaYfcQCFsgDX0bqU0Zmk5X870P/vbv0QPlV5nb82
/3v+5qe8GKvQD5r/8/HP+sff/ks+W2J/+IMEJ5QfF+1LNV6+1G3CR3+8ePN/+f/6L/+jH7kmlem/
/+vhmRyJVVg3VfjU6H8GdOe4wq/Lo9M2rP/X8TGsi18VSHz8Z4GEpSqIK7xWqTOVgCLzrkDSfjOY
GhGFKFWyrVUWhZ89O447IHKY7vC0qzzsfOpngSR+w4qHj6FnmYOH4d3+vBznP15PruRfrksfXyrW
SfIcHf5H6Hwf86ZPL3FFHnKNMsY/otUl35AUtr9LrIGS8nGhQMHoGIAPpDcyfnXe6sD323Wq5aos
knE4w0xjlwWtXCNejaq1nQ6HwRisniH8WG8mNlMX50DI4VrjmFc6o3EScGFTHAi3lTV+XV55aCvF
AQxuDas8WJZCJJGoMdrBUEeDbAabzc2LXi3oS8lVQ4yrbgasyzYVBgNuT4TPpgpE6dZ5z8ZqwTjP
Ous8YhZECAzzsDan6w7h5yMqrvJI2WQpgsirrJqC1xQQdG38kPM6NfxOBiuzzFcm/OVqBVNlN3jT
AsN+QBdclEN50Qz8ipB4tknRzIUyBHdGoe2DIUANkaCCj/HlMLpygxbytG8tbWH/X/bOa8dyJFuy
vzI/wAaVU7werU9o9UJERkZQS6dw8uvvYlZ1V1bemrpoYAaYAfq1skKf49xu22xZq126qH8SqfVQ
+/K+AdIQFv2TI/KCUaZGi47tU93Y69CuT8Aw9kBLU9gpJF9C5RwHtmOeTqFlH5bYQYG56YxEUzke
GqG/VkkCKCRzYeyU9bWBK7uDSn3qlP4tctKRZTWWGjsA2e1lxie9vhRu+f56LFExCeDgAbTBkrZK
iW1hBdOxHqtjH2hblaf0l8fhNs9EswKeTkClIoYUn/NhHtIs4DphVG2nqdkHTXwXwYbdJgUtw1TO
7ZuJeTLEyFNI1VBGld+XTXuMLBxM2qg7H2OfSoA44bBEHduoipeqMuK1jf6w0EiQ4NXYq6o+DzY4
JwPpcpG28NM9D1JrmIh7YY8lcFAbikqBk5AVv0n7tI2Vc2zPtdNryDsgW1CFtmWmf9pO990AgAGR
0cmPlk+fwiJKRXxbFV6+At0bC2AQ+LZdQzv4aWJs0Uo+Ui3aTw7Cj+E+tpE2i7POwsO2GaTesrOM
E2bd277AGYmOAD1zPcfLc4dAEtiWrQeecgUDnf74wt1JvX82ZmdpJcLZhfPGAvJc6iA14kYduNXc
THzS3ijOOX7SyTbABWvvpiTFpak9Ss3JCrSd7z6p4K30pgPsCG8jaAVtXPFYY3GPevWtx+LatV57
tAnWC3O8CYPEWFpm6izwnb/icH212GGxlzVOvo0YPdjXOtpRXRkto6mzMGLWG6DID56Sj3baE6pi
CBBReGP3M+47RnTKe9hCjDysVGnj7I2nSosePC9/1Cr644ph44bVl+mqQ+1rB6UoL5WJc6gTf5s5
WbfwXPDopdHt7c5u7+whgQ1LSWKivyH5wSawuGzBxYo2plUBabdVulNabr6Wg+e+SK8k5aLGMXjM
2yC9UwErKKUyY42Rjt7HuI1WtTYzWWiRBfkOMKg2NbYLvC1OfSXiS2dPYJ6ypg/ksquc+R1mCJfV
i48859WB921iG7aKIPRq0nTWvXQuAU166yCr+kVr+5IXszUj7rvsOHrwUUJT3LU6ZUD4YepV2Ffe
wjCSI7SO+7xKgfEMJba+SmJU9u0XxwHQ5PSrusMI4ipZHDzwQOegivhlT9CiU6f8ZlMhg/97jHjL
+fyNxIMeVim/x5G+gDE8JZhdQJwGtxASvnXKXybsSryE9EOg6fdzF4FlVW8QmQEwJrs+ab/cZrhm
gptDGNCUhlP71Uy6DXvot3LkduFJ9mcGu7dgwBDUShrbE3g5MhCrcYxxFrnrpDa/506rthUwi6To
X3srgHbTwq+K2Ry2+Owa/szpQIjRfTYK+SS64lkYJUkeldyrbDwV/rBrazRYbUiew2jcxwNvUaXO
fZBvw5wrpp45d207XVHzXlUkLiWORM/un4epIYABDcIFLtfbPoeFTpjd9jFfpW9TPTdYJc6W64mA
ZwnYpvViUMWK5Qqs1WUinHtj4q8mM4D4YeE+kB44tBZQWorwXnkSHOuAEV4jVwJ3qN2VSfgs6Dhc
WHqzE7m15rhZaZ2CEMVPn0fuCTQZzOfwYGCe8qseP0G5rLz0iiq/S3O8PZKa4dxM3zX6rcUQ7zqY
WQv6Zt/1Nj3wu17Fk8JEbvoHuxtvZaXzbdrULOjarhHOW6BXYMIQU9v+PoB0xmZ62iCtl4s8jm6w
jH5RKI9zCtiXbifcLaf47ItsWwf1Q1600yotyh3lxPWOPsyZfDSToE1oVfGbE5SwgS1sgmbZbopc
NxalbQ83uokx1QM7tk695qUA8bvRdO+q+2TDhqKu59ga+a5I5Rv2cx9xRlyEQi/tZagcXi8IputR
R+6z7Dj7Tn2yuzKtPIKdO5rngTKLr5/ms9/Hnp9Vml+m7hmiYNP2hQOGtYmHG/nPioGRCiPPi0C7
JAnYo6fU/2aL3ywR/9tJ6n/6EvOk9ZMQNPIqdlKk1Is+87bda1ddVfI/3FB+mex//zGcOdVEXllY
v/wYJgZhwnFxeNVp0fVcVC0wMQ90H//9bwvN7ueb3Y8vQ5QaswHx/Jlr++cfJSwTMItpH147CGJ1
AtYTVJJWP3b2zQAqz5HQosRv6IT/03eJ7Wc51+TIP98d/l++SszBs7+5StDWkP+Vo4SP+ucNggQ7
jExWe7xvf0+w/ySx8ipAXp2lx9/MZ/+8QRBup9+Byd41sKfx5/zjBsHWDysJn2vOxWNLM/+tG4T3
y3w/S6B0r9sk/vCv0Aj1y6sSQltWpYAbr7z7eBYLjwOYVWT30STU29gpm+Y5soloVxCg9Z+CFgJQ
MAc7hXC/tXl2786RT1M3V10LdCQgDdpp+l6SDk3nmGgzB0bjmoNzTpFSh/pGRwl9MnPCNK/rfd2T
Gp/iq9Vqe4hUZ0kk1Zizqd2cUu0hnrOA8XYFAdZp0FYugdZ2cMplScQ1nbOuWTzcod69+nMKVqTF
7ZhqHHQEZLU5KRvMmVkWlDwQnWOWvGSkaoeQeG0ikjs5B24J+JNLFUcKTLM1UMXtOIdz9cq+RnNc
l+qT40R+ty+6oyeD75U/HGPu/eYc9LXnyG9YBIyvhIBDU3tF21zjFzDem7Gc94d0w8vmKSZBHFLp
i3/fqpegUx4VKeNujhuXbLbS1DuPcxDZ4GcISCbHU/Uu56hyH6TxesBysozmIHNBojmYo80Nc9hI
1ll2wxtPa24WpKCVV2/bH7FoDsxFj5vMwxyO2eSamkSoBVnqbg5Vj5P/lDj+Bj/qmT3oVp/j15Ic
Ns8Ie9mTzPZIaA9MxuuBzHYc4Zbu5xh3jYG8noPdadq+CJLe7HIpyZyz32TAgdqGuG1D1AosIQU5
8UFSyGOQHJcBTgdJltwkU67P4XLPxWM8OF21htr8vQjd+zAYt10K/SkvwdWXprHoLO0Tb+LsYdg4
SfvMf9sVJTA/u/e8dWkyDURJSxdkkp18lT84p9JI8UcCZXO4ka8iK4hWbie/MCTtErcBAEmKE7k2
hAaVno2uXldlRxAuxYrca/Le6JstrsNXezS2kBfZUHviKBOwnW1ZQtgucpTxaNzUEjRJS/fThEVm
jFy8iDy6cDY1OKiArSZ50K5JNWzNsDymwt5kPjjOlO2YnQ6HJGqTZdSMl8bnd28Hxxb2IZeh2B0/
OrISz1HRzgRqn5ugUxbunVnpHrKu1+TarY5F606OIYYRQ8UbWjM23F4ccArBF70Cn4GgOzKiBavQ
6eN1C/UkneZbm3b1oirLWzeEGheltwbtnMzyYsmidFUpUNiW27Nw1puNJ9qLYWU2PxzXQBeYn6WS
XdkqmrHB27PNcyeKziVWJ1zNbak2ljO+K4c7kFJvOKHXdMI+8odmyEi0/Rhrp6KOtlGq7QvGGphI
yzCBq0mZRpKPcOooc1WkE0Z7ImXTPht1w1iOLGDmatPnQNGsODm5MWFSsmpzwGM7gGzIq5w/yFM7
c4NVNyMFlz3IUPYLLPELdzXmchXF/kue0Bwsm4hrgW+sGCGRMHKno/2j2Pm1fsHf9CEHkolgOEfl
zp1b/sqqxjO77D3WUMRuU2+O5jDwtxUM3mxRZPMBDvSaKG8lE/tBj0OG35E0XMrt3MboZqfACXTu
d7Uy/A0LznvRBZ+1Q2+z3+f7Fhb4Urr9DvubWmo16HMrvwn0qecWD7k4huCII3QZ2d15cIsjXWf4
1NNsaYfeK9y8RUsUv4MH0oz6lnAt4cf+WTer/VzhDRDeXadJxvmnCm1ROeWd1VGAEk8NMFVsY2Gy
yzgAq7i/BM70UM+GNLO9Dczu0NQ99xGcfgo32DSZG8dp1hbY27JEWKVuZuIUtja+aI96MW08cGpL
n4tFXenfsoDLRWt2b1ZMv9SAv3LPHHljYKOowvDWmLyT7xGmmcBSbpxpOOgOdV8lSNa0CjENarG/
t0LRbRE7b6xMo9plvKHf+MsyJ6bXaiWddi0bT9sQzSggW7TXsa1uWtd7VHEXLXMhSFDnwl+rxMxe
UtrWV2HVfyWyQ7TRn7KuwMNWniIfEinz8V1HvbwZN18iHNddZ1SXSKlNnUyPqWFyl+8Jy7DTl4W4
bbQAbIjuv2pO86xqdWQ5Vi1kl7tLMPZLrHVHE4hjpMSV4MzRbluOcXvcU0kKqYKMOGRcUs/pU59p
Q7oytMLYaBPt5R5QvUyP96aYGSBDPq0InH23e6tbjX2pVrIx3v1puho0kqwZF8JVaBob1dCuHFgk
kVqicn6bnhnCOS5HRZStjJ/LxLwpCfbYKbVefUlsJpIfmFtXre4f4DBepaP2k8n51bj4xpFyHtWo
PVWqfMhijG9DYa2qLDaQQIZrn0J9tSfvfioqa5V1SXfbtLR0iMxNdvaMaHWIaOA4MLALHX+ap/5i
9Df/PDTPqyCM9C7KEHqqNTcL/3malbVn2KNv+VfjPl+80Oh3Uy+ppFv67w938sw9cV0u2118Etth
Fe3KTXQQ4Y4Ouu2P7+M/A67NPPg3Ay70nvf/tcze/9I3zYf+a8qFGaHjJGBX7xs/oqB/GAnwGMDv
A6kmbOBOPyOcqB7zbGf2CzDn4gP5acp10MlR1eEk6hZur39TJ/9l3TUr5fjQfN2bh2m+2vxN/Hy/
c43QyLJGlDSvN2SoWjVjHigrV4oYvKlCYz8E6Sazxn2RFyQL0FVfc989IIFtPL9FWSwvblfvE6Fd
Jy1Y63aOFEv53SmL3fKaxM3TqNsvnl8RBZKzYUtr1/2YPvxGgm0nuNkhm8MycW9VSAZ7wTu40tfQ
RYFjegLl26DsD/ZPv8JN02+jICJjLzzol3oLs5qawClpaPMJMeni1p2CEvVMp1Owm9sF8dkCTmDE
G0egCgSKxCpStIb1vf7Yz/WExO0Gk77C1rexLP/oMGzEB/z3aFnN/Yb13HTY9Xi/AF+zhS+SDx/T
3XqcmxG7HCkpoyxxKuxgn839iTQ7r8sCqBRW3+wohDacINX7c1irWNpN8hjXOTJL1hqsFZMrtrXl
XMm4GCZ70zrdA7K6Q5FI/TivL6raGPDpQhpXZO6sOui4RhTdqtCyClFMr5f+bIJL6+5cVQmQq7HM
NlOvYeASB7B9VGz1LMlm98DA3noajJ1rMa2Oafy9N6xzWEyXycx7Oq/AH3VJ85LN53NXzoyd6tRF
HmcvAWjaVbqlNql2Wc5dnbJEbqnahEPPdHhyOLdpMEZoanJYmVO4ru3c2wxa+VGbBHNNXQIpGNZ2
rW1LPYdtFF+NrDtaFjeq3JbHuuc1E3Typo6dduGBtV3qiItrm5lIotDKpNvWuL5dEbHK9kttWVNJ
sEuNYpVW2rZJNPa0pTxPNIouBI1MIMedO2STMwuaGdDdq6Wd2+7S5FK3sMopXmR2y0I31SEBDmjW
uAgUXKRNnxTn0A7exrofN5nmbUPWSCvR6k92Xb8lVu0Cc8STXbcOdvrwNkRENlS+mkJ1qaX/vaG0
Ht1e8juUzj6seVBMjji1nbzGpay127J0s+lzVFm6c/N85afVUxqE3OaYbyR3qnPRpdUhaf3XMtXv
aCb47lXjsoH1Wk3hJiycVSUHmmex6+vmscyiS1yWB5XIS0HDc1+g+8L/wrsXdMPeCcQX2n2XIMBa
9jbuArdf2EU/3ZvOdA7rht4n7ogbLHM0BloOX9feVlmzHSAzraFj7IbJumnEq9RQLPPOfyyIGcM+
OzZmA3q7FfuBEGRYTTcMDLugj/Hqi+6Ww47kN/R34EcIinRiBnVwY8Hfp4mI+xjifNnFd67hzt7Y
+4no8cJpkN4jwpgLs+FCbefUm/mhYW2aMYs3VupsszAOdzWKG6JdxB1nzNg8dbxyqJ+gkIfexUVO
fTNtXy+uXXyVjf4990zy8mX2NBXhSRjA21RNh4Kw4OzrTeAu3KT65lGGc4JadwbjyzGh6zfcsngz
uLVxHazs05pctdan4bOTROhzR93h8K/2VtG/oexualt/GWP3TMJ740ucQbni/eLZ0t4qKhgL+mdW
WGU3lTdu+wDeb9Xc+DGttU6ymSSuJ1EHlwQ0xoouth2thfMcIh69Lljxlful5dsPhi7MbSSITE+1
Ua0rlah1rZlnxdvgxi39OzHKHdVo5HiznqowIL5mlRiLuLSIkbntip8VQTilTsOn5SOqSWe0I3Fe
rttrOn6+Qv8jJuciW+su5XfCcwAIfUghbpt5N9iLNzr0c46w1F5UwQwLmIZ4OfTJlnAD1PUk88nV
wQbj03kekVYhwkMmwkuUMDOxYeiPtmYQcgmNcSdMdaeKbGXkFemIMsZa6nHfgPHM27YJ94ruikAj
TQxYhk0xdl73TZdTTO0JkQBlC7Z1aqNF9b0Zk+wHIbIMI6eDxTPH30P5kZpcojVpbRvhUmpU12cS
Og2vmuq+E+pk6zLBCVpvO5hsIq0uLCeyfWUMNImoO30s17SujOi77rGs/R0cs+EhmsZuM3TmZ+pj
TqUt9hYBHNklI4/2n3nqtwga+tnfzFPRu2z/SjDko34apcif4cnl3KDmc8Zv/SQY6uiEqHUCzK83
Q7t+Fwxt4x9EARhtPGBZhAV0PuHvlgNbx+MpuMV77j9lxl8sBn9nORD/3ZxlwwSDlUr1GT20GCP+
PEqZ8xevsjqDWOnCELA7TFn28MQOHHpfrV2riA0ZL+RzmhGwakaQcWMIVZAE5KpX3idnIvsL/4G7
CRqFgbFstHzuUvTDlJ6187KOBH2wzqniHHho5ZAkMfPQUGkZr1K0SxBEPINZ+EjFe9xNzkDOP1HW
1oNvrVsNjs1oVOda2R8O/oFwJBpuyRKeQJx3u6Rqdo3vI+nQVmSKzQThHrs0vB7RA4MvH92hvwxm
1LGxtmO8eeZ7hi8U/8VLpPdi4wZBhzcgH7cNFCFyWdzwbUcehMJe4NEJ25qsbq1knUbJPXivCqs7
M0FfqdvCsDFpeNVmcGaWEN/c0XJp7ibxNa24DxYLjeC9b2XfzZhl+8iNcBGHHObaGDzQe/qVVZ1a
6cWgLdC7zqlNUUAcmumaLqRsCcAEK6BCcXRHb03ijbhdy4J+yB55vGqHHE48yPXbCOV2UXj+weg1
GhREe/YL86HmWcpQfBurWFt3896UVcVWn7wvQ5v3+GZxSwN3vkCxfk0S426UFVf+oKQqGhQBTUfW
w5THrym1FkPGUyX2SOVZMQ0xFJYktf41VxHtoCXZ3Le7cR1Jh5q3wKIaKnqOEr7/EDGVorm5LRHU
fOewSa0Ky15TDPxZJulek9lqCBH+YkkTdmswgcZ8HR2H5hj4xaIsaJYf8zvVAOcsvQr8vAV5PnTT
RV0As2pHMGVDwseBKPA5lVN7m5fdtSw9VpcBf3fJMGioGrm7ejW6+MQV99TE1AdooYEfweHRZZsF
Z6+kMIrMBAykttoGVnmhY5UqDuHuM01inpXxRU/K1zqp402dYTWg+2elYDk4xBMXQ0/JqpH1u9rQ
b0xTLisxAJgxgmMTdntZVI+d1m9LWZyjstzYjoIOlcdkWGTvgwoYmCGyiEuG3r8gZX3K3qTbVW2H
uKLct6izReGUQN/5qUb3pqwHWu39/t5Ls01LBct0aftzgPwy6v4+VMXVEMWN2Qc7VsZXrUMK7Ofi
rrn/owMi3pXRxKjLlcmBmc8LNA6WjkZMrUZ/Kws+aZGLasmGI2dO75xVrvdfpNzSlcotEoTV/FZN
5TeVsBwsvS83Ud2+1GoYOZ3vbwlU7yODPetEhQ2PLip7F17hqy1GgXAtlBUsSzcaNr7mMSFhSwhV
BDEvSJNN3tuo5+yiuyj9Xlr9Cw2HH5M7JOtSkrIJreFm7LgqENGmFrZFOOI46q0lq2qaFCg3aI+c
PTWQvYonu6prc1Hk7V4U9JZsLPwC4hGKqOdtIyJH246SYt5LdWEs6C9tJnIesG3XXqHZxG96KMU7
2zPIgTcWkZULrT5jd+/rtDvdD36jWcdOdeVxEEUWvTSTbfbXtK12Zcj8USVgp0s7tRG1qMKo9end
aMI7GVggX1N1sO2i2zRao7ae5hwF9e4rLrj2osucD4Q7iVvGARmT2C+p5nhUpGGbMfTJOVglL+a0
IAfL/64zsZZvVWC/R0mDDORhBbYmil/9iNkrmkEfxYDtQ+/TRdMSHxlTdR7pbVWxn2y4fpztornV
gu6Ye+UbE/DXpFnLQVEGLLm4MhwLOr4sdWDXL3RANr5bvce0nzhxAB/EFNGaa767oFryXjeTSyCp
HknG1ywyvyZD57OE4ivt8yeqC1fadCDGCelD4L8Jm7t0vqTrEfwfRTXNMYvcs55m8A9U+T6E0z6y
LKwimnKWdTwVC16MF8edCUPCD9e6pt0iXZirgQqxVay686SPR1+oYMlvodq5BbcOiT1na9k9Zzup
K5dNEgBDdvIsnR/adDWJ8NlspMZvMglWkZbiwUj9gS/edBBo/Z01+cZyIjdHwpVK7cFT5TVX1UBV
7nCqPCJb2JnCRWi413gozsx6pM5Y3vhYnmQud2HXvjv+MK7NPr0fsZat6brM1oHPA0Qk3WPQdXLV
DcUzOsQh0Shudrvppav9iMCVY/MaYEsGdFtbNmX7KX3/kQN6o1cY2/No7lG3dlZSPuKF2GoxgjN4
2X09WDe9V935ovwW86BbGK5+sXUcRYL3HTilYBtMRgM2r6E6reeR0A7hwhR+gp8q3fuCUHUfshT0
zHorRTwsY1te07i7YRLZFGb71OfGrkpZuNidyQuws9U61fN+Taqx5k5IO4sW8q8u4z2p4n5Lp4yx
dbj17Ft+oUsZZVe9kgm78vZAsXcDC5Bbg1SPGTVP2Np4CHJkbbR4CrfaYFB+4zvLcYAeBUIhO4aG
SdSOrZwmq7mxRs+RPIGD9gG9vyMqAzVr1t6245uoS540nX54rUBw4ZDjgBPDbspN3hLCuzGbfqLa
BAiTU6oPcgDPlqhJhLkfk219KEffVNJ5KdPwhSyVQ5F5vA/y6kUvvZ1lN/eDZx6thFJrc0yXeoZU
3Azv8/6mc81PP50OgK9v4ehB02n1+8KeD3FNwPahsO8/Y/dvYze68N+M3TEdS2PZMWT/MCP/gaGf
owU/Dd7s1PHHiBksz8L+T4M34SisvL/xHWaD8T8Hb9j1us88zrzm0Yo566l/DN7w4kFJ+Jyvsyrq
/jubemK9DNZ/WPbRMFnS+yzpdbgyDt/KL4O3gXTUpY1T3qhG5w3Ws4mzK5vWP3vYRS4nUT+SYyXA
CB0CAv9Rz3KGSod2KToL9fIlzgN5xubLzc6y6vuEg2MnVCcvQxpU36sWa5abARCIMpcFL3dYEHC+
RtlkzhB4I5u8vdZJYr9qutNujIAA8ZJ3El1dRVBc0rDyv3tadIfoww7EwFxphtGwnTwnf2y9URCS
d3krmKI7tzJy92lX0Dvrdlq6MQQ5WqvT6bK0pPlZii57EXpW7EIhCdtXgXzvyVOvI92DRtr4w9ZN
gNNgtK1uB4p/so5iR2STatUPhk2OVGMr9UGbXWQfDQpeRrXBxthtMWV22qcd+kl0ocqMhWgdyKK5
uhHjohsaKrqPEp9TfugkIUcOIXe4eL5WYrgNbShbtHMOnks2o69wIgimiPjoaAXjctxl47eEFXm+
Ngcfmn2gXp0hs94pbRYl1mEW2FzfgT505HTboZzeZ6UaRZg6oCOMfYLLoeFvg6oPv/FKipds16b3
QEbTpxOrl0arN0UYH7QZKJcbzDSDaKqdVg0hSxqjG7cpFkWOvHY8paWqEPN8rBsqL7G/xkMYb2Te
sslEg2SwTutn242zfeYbjxYH9K7SsD1F+tAvBJB8SHXSufeiij2lBnK50mvnoliVruA9+DqyiSgf
Aqnj9Okz/5vmDtrBylp3Uan8CsJGWzVtr7a9pkm1HrK6ble0RVZkukq5x7NQ3HH7nUPDk/MWcu6t
Jt9NHhVj3clN7OQsGRBfjYBg7TDN3sSU0vupU9qRFy9eERdiURI2wQsVIcNjkTRU5pUqvteovrqJ
ethhBd0n2aqw7V5iz6NTrgcqxOpQCbkKG54QODaEA42H49dBK8ysg6sG63Z0GpbNeukYn1VZTZs6
1rEbcrYv2sET/3fyF/8feqZQLP7mLC6z9+IvUhc2H/XTSTy3DLMScnS2xD5n6r8kEPMfBEE9y2Vv
ZKE+8E9/eKbm/3UuUSeV4ZKv+NdJbOGZshhfSKXaputaxDj+DQmE8MevJzGFIHMDvI4Pi7KEX4Op
tpcnDTPNePXasLlht5LfxUblvpSZbR7GIU1fR6N1Nx4xwzMiaoCQ2EcrJIbpyfWH9j7Syww3PdWt
wGCCtau1zbqI62jtYUfIMkxQ/ZyhFnOa2lItH9+DL1uRf8VaUVZqp3GBVyb4PdlG7c6orPQjDnRI
IwWof33Ef9pAZ3jLoyg8lPXcoKu1ycqc097S8yrEjfHJNyk7nU+oIHcPhBc8DkltOBZzbrwpBwUq
miy5yvRrOqfLuzhl0+zU6SIieo71sF2UvtWShEimeb5NEqr1jMEmTopZdJpCLnvVa6TCgF1Vv4xn
vZ+mDer6inRvTj7ITts1b0IjfNHTEXyw1WzsqrgVZU1KXm+1beuEEwy/zjpEEYaGjD2TodVyH+MG
XukRLOk0K+x1D3195xhQfbg/pYc6r4ZFUPa3U8PmvcowXNCFMS00IdiEQOA0Q/+SWBy9/chvR+t4
ZsWYsmhIMMgBSxM9yh2qfR3JQ2cmb4CRyOlnbbEwPSdZG1SYRGE9tfjK+IMxdjarbO46CSg9SWyN
gCUtKIo6lPxHL8rckELnU3JWlKZoKe0pGGmx9goaVQYEsJSKFUiot6BqrUWq1NakhMWEUOPT+gpv
s6GihfqPm5LKFj2UoLoZLiv2bopTeEHd4DqYe16cufElm7tfpORC7hb5UVILIwT9MNIZ7vsIe4Hk
djFzu9kg5PoVI9CuoF6mp2YmUf6Z4M02mvtnprmJxgmcG7g8m4mKmnyK24VDaY1P1zWYKWpsuA5X
1Nqw8+X5T9ENQB/+heqb3Gy+WQOmZ59SHCDxW8jcj7jGKO6CSYsrT1Lj/KPqoU5R+peYWLsPezYd
MpfhPwxKdfIHnvlrN4/Tk4G9rMPXwLWn8mkJd41GnULHjPf/GYx/G4wZVf/mMG7fYRVl7538i9GY
j/zXgaz/Y6YAAIc2HQJlf+IEGCzxHezGaMzC+DGV/nEg6y5weDrs0TGdH//0+2hsuf/gKHZneiIh
FNdE5P43DmTL+m8HMut9PAZwFw2ydUzif9akcd5baaOy8tohI05n+mJEcjFsPTHXLRbVG7xjPcU1
mbiIqr5h3/thM5yuGzN/6A123rmRn2qzec3G8pDJ4i7OaSLSTHJHCYBoIc44Y6hBcodtaFF02sj0
xLT0PCXFpx9DSS57UwJcdcpbas43Rg49JSKW3RHBAP/bLZiOkjPDJ9UHHqgMqy+Mb2TEF6ofwmwz
hDg197h+m/hAgKeldMXQCBPpcGfYP1ZWQqhHQ3WHwVzt3djNt7ULn5XqXPvBClqWXkE+JN3K9xl5
T00Sy9dkCBB8eys3N33XJxOmx+ToysJJlpkvJMpEI6CqSK9J6ANwe6ziTajX65wrUMi2WH3rHGg6
Q1Y8uxW2Kkg8W6+nFL2KnfcqgBftDrW6TbxsQC4rzzx+aA4gHLLA27mup0BfROjxZdA/mnrwpDXT
vnW1ux7ho+iHvT0WK5C4JzUIsrQ0KnuVs2wyE2U5fq8gXZG41hZl2507F+ebq9H9OLssG9+46ztt
7xjmugjqizcnkKwGkMqwo94TP2m+I2h4Cv3ikpvq0pU0zo/yzo+yHc3Nj2ihWAvdXWCEVydiPKyz
6j6rQI8V8Sqr9O0g5F3TouMoeGeO/ZzPaTvfe/c9echoml16OZ2lif9VGJCJM+di0T6LtLm1q2lp
sJ0PYnkDPv8VlC4ijbeqNGNduNFlKimZxMQAyPhSSAg9ynyeoNb01LTaeXHhb4kWiNYZRZeE8gBp
+QCrxQZT9QGn8rZy9DdTJBvwdufKar+FpZfAbKPZ2WWX0tAdlhtbz1FAo2U7o/kunRmxwk8ujWPe
1iPP20l7FJG1zwCXLbKu5ATP95I+KS/2Fn5Qf/qgkvoie2aZ8ljq0R1BuE1QiRMx2A3EW1TtHiF4
NE6DTQCNb2LpFwbxE+MEpPrAymjZRO0pdLG2xTjkVLQvJfgcYnSfjWve9b66a+g3WARhL25dQVbT
GaKLE9jnUZi0/WV6ssfjCFwhNktrRqTz+xKqvuqYCwaDl1Tn2/usx3dQzw6ECivCiCVBx5pg5xYO
0fBWzZ4FBRCuJyi5srAztMnIyw9/Q1VRWzI7HjQreEPTPg+zF8LLu4eUPZOl0ZeYzn4Jc3ZOGD88
FLObQouQQ+E3F2szMs6Bbd/Zs/eCgnY2ALMfg8vFTYJBQ9r5qpodGxVOVzaztNVi/jy32DowPywF
Ng+dLQNNx8i+sckA5XeYQYKI3T72EHP2iUSjPGYYR6iuPlkYSQyWR7lTX6r/Yu+8duPG0nZ9K419
ToE5HOwf+CsrZ0vuE6IklZlz5tXvZym0Lavs6Z4SMLWBqTmYGUtikYsrfOENAmHSFckjRFVexijN
gM93s1DgUdA7vDRi+xCBZW0G71VDcx70iitwLBKiiJlAtqi+AT4CsEsSQM2LgL+Qy93XAg+DaRia
gsl41ijaaQ9kxhTYGckG6pBDuOyFtFYatlcmQBv4vEcSCDtbauIF0qQ5bZjuFEwYgnsCpwPbEgEN
gd1RBYqHrkSxCJvhJBMIH1MLzqOouG3Nxpz6fn/jmRi/+UpAuQt3EzhVmOIpU18ghzQgRI7AEqHs
5YCoBV80CqSRb4AZ/e/Z/3z2G4g+/Prsv9n4623kFfFXf537guNOH5pkizP+mfz9VyKmYdpIeqZb
nLzPKdVbIkbDmTiBs5jzmCPe0L6XxDQHZrwFKYmSmcjD/pk8sqEAEPypJGYCDBXf5RB9E4W8P/fx
eMD5j9s4b/F2qmahpt16hrwK01TC4MSbKzW6Z4YoXrttc4jOmzIBFmvOldY5qo3InOZ0lRdeONzY
UgZUIkRkPFUCzJzMZB42+aOn9grgprrB8sg0s0aaaVLzpWKzvhqSsFuapYnWlT4AD+utmVmo2jS3
2vIUck+Df5/qL3pLeajd6puMsvkK28MzTNWVYGpmVTSnG3E1KP0lFXDzskACEgBah9BKnOIpQeFs
EjtUvb2G9vjg5A6onGRu99Ei9BpppYSWOw+TwEIcLnhSUrVvZpXQ3q9ZrICNQcEDWUKSXkNoL3JT
5dxVcXDsm5R/8510ZSmxMsn5+jGI00lpwQ6kWV7SOHVsGlmiRq91aJBiZZ/5yEeqq7pkOyd6X9ex
hlqQ5+Yc0a1BRT28yjABJgA6biUZVLqJO0eQFMNyFMu7bBBsaSj1l+hUz2Vbus3H6topS7ZK2T40
ivGi7DAwB8RwB/jsMSuzM8yVrEmp+EcoIFwYtXvjtZhedl05ayPnW5nrh3LjnBLJYLBQSeZUSXUL
VFd2H3bxkZkGX/uwhnfuSN96z8bUrsZeMW7/NFJnk6d4+CiYZk3DtLZpmDIsbUx4pfmefxIEHQdB
UQV/qml2YQ/hF/BzCQraoOTRte6RNnTYlEHCT8aqujPb6ivHLk6VajaPvKABXo9iGwiJLxnSootE
BsDV26Y3q+T+Bg9yGPyiERm0cj1PR4wdzVjCH0pvLnLRuZRFD7Okmann9T1p2xNuEPrC1ZSnXPQ9
ER+oj1JXJSCkJwrBtV2Yok86FpXH12M+1WDHjWyAaKgGorea69qhJLqtHmWLqWZnLARasQMtWZ3W
rCZ6tI7bWXMlrKJZY1bfSL9M7hZlRNZ+Ps1FnxcR/Inpu86E+ivmmwFrxMU5CXA5HWJXwaFE9Iw7
msdeSxfZt/tzjbaySnsZEsK5GdkIywWLRj0ED+h2pw7XrPT6OhcdapNWdZSYd5aTnIMhwK1DC4eZ
S1s7UgBJijZ3Wt9bou+d9ZQcsjDHpsJyymnm1M6kDtNFFuWnMCyXlZTcVjTSo8I7qWGIrBRa7AH8
eJWWOxYbaDSKLnzZ9+dJrBK1yPFXn469YVIDNuXOOgwL60R1krOA7n4s2vzgeVUAodFIlg0IwPOB
A4AJCA4bEAIqSAEgXl9jAR2wOd4nJmgC3TLumrI6VwXMwKeiMusF9MDwMa8oBRzBF8AEqamXHrHf
BFUZSCBUkTrTvRsFnKHIgdWMIBxGAXWgV9RPvDqe5SAh3LHcFAIaAXxf4HbVFQWFkcgBAIXDsE5b
MBUq2Iq6gzKkCbgFDDh9FrWluYrAYhhgMnSwGYHvW3CogWvE4DZk8Bujqd24QhGzFNCOoo6lCQIJ
VyiQUI6lY+xp6aUqACFQOdCSbZaElAP4CtvFFqW9LEGRuKBJWr86lZ/hJbl9FAjAiWsllzEIlN4K
pCMfTEogwCly3R+ZoFVa4agJJNsQQorx1Ey7aB4LeMso+6foDEgTnCz7mVTG37zRvSlySiWDAuRO
E0CZ3g+fypyeQ0a3QxZgGupK6jQVAJvOk8ZVDebGEl3BsRgvBwHHkQQwJ3K8614L5o1A7IDccZyk
pQJVHhk2+vap4ntoWwP00eCoYfyXGQs3Ge4T0ECIfq2Lqg+owQAUskEMmU1yq4IgGq2MP1VRt2j1
RQnGqM3s4wDMUYi/wwpz9oiSNjkd6t7LwVIeR5BKhsee3ZMrIRQ5L5RyA/DktAbbNIKBsATYqRoQ
gQL9lKGWgR4FBnrEq24kryxwUrJXL/SWSYD8Ajt3PqGwb8+gQcaoJ1g3OWirUTc2Uc1GGWhmhj2G
kKigU1SD0SK+LCd95ZyXDk1UFRxXzLxFP4QM1hL9x1aVJiy0y9KAIWdaI7Ikg7fm7CznWeA3Ewkl
zLkMYfTctgES0+1Ql2VV3geRcm2kTTyl5nerWPXXMAI2UrIvULMEeRRbucIOooDAsh9Q6+6XpVPC
I8seyhCZlNTOniqXFNoJFcSVfY2kKQoNHJaLC8482Jb8rMv949qhnFW3cFbJGudO0jy5ohQmW8WT
5uODHjoVMEsXIChWT0oO7Uv3Bn/hZCSCHjU5nPIaxC1qdjDXNs58pC5IFALAWEG2yBpvNSD2NrfY
JyV0WTspvR6y0UdlJvwTU6hH4aaMJnuyRLZuSRzBO3Dba8VA57Rood+NknWI7xlHcQruHj1vCyj/
OACiUapzgP4zb0i+RXKUkVd2572F1FsleSeyFkBxqfNvtpQCYdCdrx0agnOpSICFpuY68pE/yCHk
y+gMXJZ2espuXjnuqQ6Z0w8Il6cxVY5DFAic4iyL4wyCYBnIHp6JlEJGWvBO4b/Itv2XI2MQwP4m
ji4DrDGGjwU08Wd/BdK0LXRMzOkEIzWJo8cPHQ3twIRb/VI8ox391lgm9BaUGAjgSD8Lfefv7Qzn
gH9HuNJWABjKELf/SfWMOO5DFM2WD5VcdfgvbuUn8QPQSr1ZYHJ+kSq5rp9WasOONDQBivYTbehU
B+ANHQixZh9pIP45ihUAI/FaF2tCsx6GFovvnMVSQiIpxOpBAiqeNbp1JouVRRZKSJ1jU+SKdQfd
DtEXsRb93DuTxOpsW79G2yQ7r4b6SRIr2HC6J12saZ8qcSNWeWYHx71Y95oTnkpsBKWcGbNM7A1+
jdBKLfYLayifpAw6NDHnQ0tfeEwibEPZZCQ2Gx+7tgns85Vl1WcpRAp4zGxLRtF9xQL7Nq6HeBqy
c2lGfe/ZbGW4mtkk4WxvHgADrKjwVENdrpwr7IKIsWcgX9gYbXbIADG9TGA3wNJco6VVTHxgHb0q
HyWysdHrZKkB+6j04FgXOJBSkqY9wBBc2vhtZ5XI5X1DbT/rgdFhGnefASlxQorpgOlBmQDqeSzV
6rwcgzsDFEpEF2qGsADAFMO8QG4bMgKYlcQPJICJCAiOEva2MGCuq0A7Q2HobHyGvMgB+tECBmMU
dnIYKnS6DQGS6WT9QjK6+LgQmYMh+TRJe+U49IH1hgJmU3jxqV808twGgWNW9Pc7qN+4NB3ZGZgz
mdgtH3RUGaMCqcY8VZcAhqgZAu4pBTszH2J7GVl+OQsFCMhs3X5uCGAQJBlAQIO6QiPqiwt2CMOs
C1NuzuUs7abIERfLEvRkr6q4OIA8UmnzTHoBRsIbHLUO8EnoKGOerUrukoXmTrusPca/+MwXsCYC
xocQxWqzNS7g/R96IQAoUw3RkEH2stZXjoI8SzSat3VYgP70vlRgqMh8JejclIANAbBqBdQKEe77
NCxAAqoYpFn5ndQAy4qr7lZir57ypzHNE8BbmkBxSeow11TMthQl+5YQl06DLD+FzHge6ciM10NP
1wx4WEMReN4LxJjVJR5rpbRnYRaoL/7BdUO1Bj3nde2i0ixXuEtpAommReFdg2tVHNxqtYKeiMCs
sdZmNL2JSWqrXqYYuU2MDphAr6juVMvkY7zSAPKhR5SEgTYbgcYh2+bPh7SgWAlsLkjVlA4WSLrg
GVMHuI4ofx319P6Za9e6diQNnFfoB0kA8/B7m2sCqUckObf17ItsWt9QvoNNZenfylH+6oDzQ+7k
LMcxTxUAQKOS/Lk5oGY4JMWV31TrWEcENhgO7WxEIMeBkvoMKOxhu+BnOi3t4ZtalX96UnPcZfVl
DBaxbsNoEaT1bASlqDnwnhQBXDQEhDHEjYs6IbDGsq6/5VJCFt13Kk5s1jooyj/R1ZDB+wEqVwVA
su9s86huBI7RkGwofZD4OBspcxIGtWAsa3D3E4WO04wN+bgSQEyvalBUGtujWoA0VdCapt+v4Wwj
FyCAnHVRYekuwJ2VXqzMxJwVCElQQu+va6OAoiwwK73fzZBVp4ydGiWLLmNJ2CYubOhcZL3LoY19
od64PbbW3rXr6udZ7lw7rr7S+sEmSHbA+gzxlZvnZx7yvwuvtuP7sqtQ4u/aE4meDOBssbCN8M7C
Bp7mQRct2FZ1hKz8hz4F1tLowQKd8yM29KtBzwAlywmcY7W5BFik0lA1Zi2cg6UPwX3aVpo+MUyg
H3Z6hD6aPo2K+KTy28vAwEVNJUFwA61CKL6k5O3F/G3bXhvYHq7GtHmATQdYEsn1iZqqPrLoBcpt
o/TN0Ynba78MlkBtLlFRfzA11nYRW/aUYieRTE/YAownRZzHobaQFfeKnQj4JgjNZMC6T0MLd+Ij
YIgPsLo08lRehLSQF7EQzXKgQ+dMJBoiCzzsyonCK59w3JXTTkMpqu5lbwGQizFtA/OQ/GDlkJVN
BgT/WTTo4jZ6e+sP0WXHmTitQ3rIgQEs0bAMb4qwOdPNxoyjCQVUUQCocmnsZhFAFsR2MyiJ2FN6
MnrqUmTeGij+4ivwZGTGRejlmx5e0qTSQ+TC6PZ24HwgEqUnCAgVZwBWTzn/+4llpSsEIA/rOC+n
+qA26DYB6CriMD6sxuJWU1n4cardSYN+jhrnU1fEC8cNbzns5ePABJXO+X9YoT1EJ+zGGaOVJlXd
xEJJTnQCqFmAIXMNjTbIUNHNAlqGjEk7Uy3rMegzaZYgwTgtBCZmyOwrxU2KuUE2i5Jrn87zPAlY
K417KJfD2pSYDLXfqgtETbDMI9G1Xeko8Lx1iU2mh1jFpA/zZVbAS0+t/CKLkCUCV+TNUVl8zENw
Vkjrf9VlSlthYV7Ijfkl002wUcL829O+hTLVCq2FuK6qJaCJPsV00aKsXZuV8MwemH6hgg1mMOAk
PSpfzao9g/cazEfK53hismv7A9YvKJ91hOLhWk7V04hUa1oHbkjknh8HAkek1+VyGLF0aDQjnDZy
tAohT00xd+S8EwYxhYqvdCYQSNBvnnxPAg1ue+UC0qmMh2DbzjJ5oHYAKnmQzDukLBSseVxjmhTS
jV92txRTSHYCZ5p1Mc49CuF9Y+M2WGUFjUP/ujatAkG6+rDxmmqayM4tcPALL+6cKURDylC5hOEE
mNmphrhO70nxDPbnoUTkxIIMZVQYqofcS4S3LMu+xL+sClcFhQ4qRsGmg5gn5eY3U0YsR7M5BBK4
eMhafrMEx0+N1cd2KI8dTvLJYBmPVWstsaQvsbtRjtxUw5h8bPHINaM7L0mqadGX6tSmuh9KCXo7
D7JNLuMgkmZjFTFRmvAoN2hV5U0YnqlBhjxCyc/s6KsnwaGkh3mjkMxM8ka6shIoBmqSHepOd9cT
c1F+GlGsy7N0XtSaN4WCCVszKngc/EeovaCqiUYLFt5U7exBCOIU8ZR19w0ID3U1VIfm0GkWctvc
5y1L1y+VS/wXRdNFO9XMgHKcEZaTJsqvQa0bU8NCSi3ze/bpMj3t9TJdlKZOPbJ+RLYEyaAAWfoe
O76kkW/HODjqh/hG1aEqdYj9ZZb80Aquh42YAsBeq5tlcXOSV+UilXt7QleSBhBicMzacOMQG/st
ZpeYa23GpDwaHaqdHl1TVU3vA6xOayByeQujsSLKsyK2Pr9gZvpOZ8FOD7jJxlrKffnN9AnprKzH
WZaYr0UVMkD1iDbqoesCXo/SNd5YD2HdnOt6cZQEtTLz0FlxW0D2lHURCreuel+Z9wZgD7fIrikP
rHLdAfEtAV4JL2rYgENAx2fQUN1zhcNye1L22SGOMdPYkFv1qAqVYVp4lhpdxulo3g9ZYNpnhYSk
xmVs1KjoDYLyaOTSf4XIlJdeDmjg3+SgDXMnSTdbklD+7i0JRcxYEAuBzqkKYh+CI/hXN0c+gM4H
4A4ghyk7PwCcwc7p5J8cnupzL0c4D3xHcZh4x4LCw+vhGer8T/JQ0+BKP3RzbEMGuSGDL1FUENPo
hIs89QcRPqU1ykTKkuR8NPwj4IGoPGXUzqMUiHGYLVqDQDx041M9jwlkNH0lN8oyyOtzH0RACmHd
6VRodpIQbD3qqnwdNfpXtwJkldan/aiACtBXo2+WOMJlw9S3vK/VEF/CB4jmZpKsEVszp7o/UK+M
m3w6KmRDyQDLOI58amJJDf9C84+bJrNPUuR6bF9oTQlE7IhqV+lEDyawfc1VKHln53lJxzV3wvtO
aQVZigoZwd9MbaDGRUoXnENyezKzjECCmv509C2i7jZSDiFWnNS1dai5yQ3R9QZZpNNKd4S8zg0F
9gzJU2+ZmQ12DaPGYW2eG5l1FNcI6zq+cauhKDhm9Z+dby6qtmxpohBUdI59gdkYzWXUKrroLOzC
BdAEl0UIxzm0KPUqpXTnCC2IbMxnshGe+OXYT4QTG32M+jA1MPdOopEs2nSShRQ6f/ZWcmG0zYkO
s/AsLy7RglgkHLOUNs8tA3kxrae/hZZQGELCRMlGU5CyiKX7VnfvqM8uzIb0xmk7AIVx8hAMmAuC
c5klOPJNlD48GzARnRRRcyn3LnFpZCZfCv3QHCr8FGobHB3dovbMk+2Fi04ZqDqzmw5Ne+3jQcj/
xjcKwaVZXaRfGm7DBZY4jQIOab3LlkYgMza2Qn98QJuB9xCGGJqHsh3PssGGsDJoV4ENbatzn/Qi
R8TONG/0zLyS6IdO8VA6cfBNpxxgIambk/hT6r6S0GczEBg4MTJi774IbzDUeMSscZa6CXTq6ClM
yy+eg/ySqRoEhjzUKneVDqsOF6OIrPemlK8Xmg5vPbBQt8uCaJEHDSDpZGWMEXph7SpStXieNj2E
IfiRAJTymW4iRCdb+X2WJXMHda8TjAT8aRGTENAfwM2nVyqYsGVPa9+ip9lzRJqKk59CLUdWOCKT
aIi4ZY7ALEBAD50Ae5Y0tCLjEhnRrI9pdETIbFX3gWmdGLpxlbZZMLUCJ5lKyjguk5QIP3VLQCwD
Zx6s/D/ztLi2W1680XmzAeiL3LhYmkvKTGuNKye3r5rOXXUabU7FdQ+tSLInBpN+As950Y/ISJU0
9sBsRtUk70o0douSkGUc1oioVFOySUJwRnRS46lct9JMjujuDiCFFAGjcEx5GaD8MR+iK+BWCvJl
cJbGtRQN67o1b7y+vYliqPm9fRGpqChAJyNTUInv8Cn5AqSeUBZJXOE07Q+teYTwVEfPFOgl0n1k
JdKw5r0OR3plIF0OwDGiwDZTJX2j9tVpLEunvVyn88Ae0jm43DXQktWQ18aUBvPA6wro7HaWNRlK
gnC16K4Tq8umRVUrSxegqoBHcj9tnM66hhnIv39TY7wMByN2QauI5m8sXVGV2VQJU0I3k4DIw7rN
y+KsitF/UBV9k+egPaVuUYXkSpIa6/O0s1D2UmgnymN54irASVOdt82IHxcpD00XDrWUOv2qY7+1
IFuGShzYDnU6ArZ48FYuzNRVpgzrwgyypcPWSHy9KFB2Btmhn461f14Jl3K0nQDUBto1jnEdkgbZ
RVHJS+DTN/nIXpkp14pX0F4bbZDEmbX2wNfmpg8OTg9mXYDpoyE3t5I5KlMMRot5HFJrKg0mdVS5
X1tz/FrW1BEq3Vt5sYTrttLMacxHyOk217mtJLMy4v1qEio71N+mnSX8bRJKQiUGi+zyme+cs9Et
YaIhuaFXN4PbfYnU+q4sbIRfouZOd0aZNmKnUAFQ8VOsQnTybN+YYsWM570HdSJWtMOyCq9TU1uO
OdAqN1K+dhHESCcOcRVywqntIF2n5ebEKdUvrXnZVUeje99RDfS1S6pKE8p4XwibbwM02rFrrZdm
mp2pOdXPPFaqlRyaG4WNfq5gDkOiytKm/LqSDCJByxyDeWzRew50fZY53UmVx+Ct1JXVx2y/wTAf
B+UazsOxn9GjCLzmzqqpechFfVTUZwKAVxuNwJKh/w0LdxZnTrBUizKcIjRzpwzjEvmk8ITSER0b
qTx1BktaIF4TLbS6DycjJdJJlZNXG65wm/GODCqn08q0hQls5lFQGRpNXdHU29hB4p92aQ15ifjd
sO7CDK45nm1Cu6MYhzOFasPUr3jP1gBr3LPreQDvOGP/OnLrESkwrYTiPNLac6taP2xB16E1aNvr
Rh9AHPSIO/m5Xcw5PEKoON4iMZRTIKGH7EZHpsvUsXWqpTV1MKnUtS+BlbNDtAUFxUpaEVaf6Xrl
rVJf3miDvEG85YEjB10BHM8GmWTYRvAYyLdGHQoulZLNoj5+7IOIcpvnL1VgpxNKQ2wPnnmPiHK7
hA4QzjsaSYVSgUBHzg7deiGBaR57Anf4ADdb0d0rOJErSerUs6C0zrUcjmrQJMoUsustw88prsQb
ZFGOWtWzFjn4y7Iyl6Fd4TkKLWaR9nIEtl8WxoGoCCpFd5/WPdzY+NpA1tqMjdvEKS4ABVINGqPD
TjcXZYCgDuuEmli/UOr8xsr0RzbXixoY9jT2mQKBWVwpUrlgg1OWnS44rwpKPD6QNGtEkNME/4/3
4jl9QkSaXL/B5S4a5mVfMx8AuOJOPvpgQqp50mPzmJuYDgaZuh7x1QNqCp2LBGei2OYZQe59WeYn
vRVb5M/SXMHmz+jsrxwtFKrUq7Joj1m5KyDF8qTofAEkESRvwHwKR22knARufezG2R0tuHs0vTgj
UuuuUvvTrCe17QL4XSF2XOAwvS/JIKdTRYoPx+Co1MtTCk2LvFOp5QT2pW/knNGSedvk7enYY8qY
Bg+xbqB8Tr210oaTtreb1VAOJI69eZooNhT/hI1QQtTTCKj6GfoqynBhlsfjptS0qWcA8TNH8y7s
kuRCQ+5xRtVOQiUdTnbrA/ltwfrApFcpzyfpMM0rS0c5o1xVoEtmpRw+WB0xjN03F1aO9ItTttnS
c6rqJClKMi6tQ+HWstmUXMgRWDs4z7hg9RkjDEYQvLBZS0dwApOl6WeHzjOqOH5GGI/PaOPnLOT/
g5bg6y1u9Zj5S+9E/PQio1B8k30wovlbv/QGWt9+oVe26d8zrRHZ2LsE7/nGnm1zfnudeE1Br3nC
FodMjfROJSGjNyg+oOHiDFbgy48lnM4OYMhhdKe/MLR+GKNfjcLvH/Dqg5/Px+v89uY/0HEB+O08
CK+cgtdBYFjfD4J6YEFT0FEe/HEub3+Df+cB/87v/INBEPrtOw+CdQALAn0gU+NqfBjWnwdBJdO3
BIeY8f4PT4QfqxZw2v6dx+f5vq8D60AgViFjOy/rgDrCu6enDkIVRKWzrrwMzz4MAm/i59Ug/4zf
/Xe2BBjrhqkYYlrxAXfw81DAZbQMw9rP1UBNiLe385YguEb0+HnGd0/PhkjBS8Vc9GWmvHzVf3g1
bJkIgm+14xjg2WphQmDIrzvCzxMBmwLqf4C8xRT5z28JWwZBfpmh373j/vlqcFCi5fhjObxsDHzL
+/kgxBxsUMY6pcn9HISXG9tlEOBCw2h2YE9v3xKYCXDzMKtQ9nYm8N52XA7OAbQBTUdT4xeDoBzg
uoEYiPDU28+Z8DPL/h8vBzQDLUNnAxTTQXw+RAk660XXiBJeBnz/NkZj95lgHmgavQ0YKb8MFpCY
B2pnvATo+zcI8mcEzRaoREN9PRxECPZ+Y+SgpMnDriBMk9/O5P0bCgFd3HFnYM5DJtZQkHhZFD8f
lASPBAyKbAqS8V7uDPrOmSQMLgJCOF/arzJJTI1sBQCq0Ovfy0F4fTu7HJTmgUVH1DCU1yzh50XB
TLBwXzXYGvZ0ELTddwbiRqJGHTexl+3xQzqN8L+j6hyjLzHVvh6XymecFDAdDVW2XmOGD/NB1F8c
E3D3vu4MQhJnx+2RwEmVgYuLhf/+iCBsxJzP0l7P5P07HARyYcenNw8QwYC4Cnj4+bNlNaBzwc65
H4UV5vzPNQXhjLHbIHA4WLYJk+HjFNAPFLw6ENN8DSj3dVvcvaSgHTi2jHnfSzj0HBC9Ww2KdaBR
hlVR/dvTQVB2HwQqqcBiDZ1oaOtqUIwD/GA4QCm+iM++ng3a7meDTcBEpQ3xmZeo8UMqpRzojvgP
Oec+D4Wyc+yoGcz858z6dW3w1t8vDee5AKEgHr+nS+M109sldiRssgWKTf9FVknlUcMDEpH/lwHf
v9NS2T2VIrWmF0VwSE3/+fNxJqAo5VBj2deZ8BrZ7zITmO1skBaYyueF/7Eppx4gWqjgqLCvqZT+
Es7uMgjWAWg+QkPzV4OgUHjFIwxFxz3dE5Tdy23IotCHQankZSKIhu+7jVG0Z/mxUFPb10F4ubFd
ZoJ+gImPquFV8rIl8L7fDYJiH4h5gB/cS4i9rzHDawt9l6HgSQ1KaiKdeP78fFBSiIfZDSx6b9v1
2s6LAiFANERgMKPgs/WMYBAoPQBXF5p/e1lpem2T7DITzANwGyTOtOe2zwQZrSWCS/rVezoI6s5p
JTOBB2QIICZsHQTKbY6J2hR6u28zZS/ng777UOhizote7K8rj/DJNB0W4F4Pxeua3WVpPM8KywLE
8PKknEDvzgv2B3jfCqnVvp4Urx3EXQYB3o6oOaIFsX1pqBqNOji8mmjh7eWiEFZlu5WdNI1qA8cl
3gwvM+FD5ADoCbcyIP17OxN2rzNQVpJN9EPM1+Py50EghsRoyCF62u86w2vau8OioHtNco1RnKCe
ic+HgjRNLGw8dOe1prF/Kba6e4otYkicSt6mw4cWvuhWIo/ocGbu686wewzJIKAhrVNHeNkePyRW
nBHkVTj1vCzAPZwJuydWvGh4zDSuX2PID4NAiq0AbNLFQtnPM+Jliu6wJ4CAZqqLU+K17LZtEJC0
VZA6evns6VAI080dj0uiZfSjgHS8xpAfAif5gFID+6e2t91r3t6Og4CLvEGSTW711/t+Hz1yiMiq
TDdrXxeFtvsZQVcOQItig3N6/vy8KOhVUarGanZfj4jXGbrLxvAM+odyLOLQdzOAh1cAujA6r1Nk
T3cEfffYkSqDpWN68BYw/TwUot5ErAASbm8XA7e8445gEAogNMXW94tUiiIsjSuAn/u6Gl4T3V1W
A1kEFVY6Er/KIpQDgXgkWNjXs+H1xnYYBIF+1YQMxhtHhvf9bmdgOZh0LHD2ezmH9i9qxMZq1+UA
nMeU6URiGr71bCCf5IfUooQ6B599Ta313WNHiiyaqkKfew2YPmyPCjqdFOz3N4D+oPf/zyHh8gFg
DZMWzS8qj6LcRt0RZPxLlXZf58MHydZ/Zygs2teAH1/rCx8CaBq35JTUYPd2EHYHvNkA3sA78pw/
745sn6gV49G3t0+/e2FB1F0V8EuUT54/xGDvjwhYIvTtbQB/fz9s/BvnyF/c46kfxE/P1GQk7p+5
wC9s03/5C2+83Y8X+AER+My1fPebgqr8cu0X3KD4//+zfkqCdBZUdRk81uozWfSHn76RR5+/6fXv
Xx/x45e/+7K353r7x1WwKdfloz88/2B4vdGzdQK3+X9j/utp/TOeUZSC3/5tO836r3Dx91dHk3jz
dqHv7sCCgPn9Uf/v/3k/Ej8cvr+9eLJ+ysq3C/1wcRbOzhefYP+07caZqTtfe7qO1y2vpHq71g/3
znzf/fpollUfXilxBmHNJ1w8rcv1H9Osqrd9BdvZzl8x28R/nGXl1vFn79n5+vP4j1lWMnnervXD
+HMY7Xz9RYltxraLE/nsfPFlvEnTt+v8cOOfsVxXTfKQxU/1x8sLdPPOt36Y5JsyWMdvl/p+9wIz
u/vlkbB9u8wPl/6MFXu8KbeMueh/7HzXx0HqbdkIBEpw52ufrKMte5jA3n3Cpatqs21MPmOBnmTV
H/+bept4s21kPmOJnq6f2IDfxuGH2fIZS/R0jXPBlmt/xhIV10aaasutC6TIzq/1dJM+ZY/Btt1L
tNs/4frl4+bp7ULfx10QYXe/eMa9v13nh2t/xjI9zbaOyWesUi5db8rNsOXOP2Olnq3zbbPlM9bp
2aZdf4wdMQr/jCV6Xq7ZArYMymcs0Yt4/bjZEjuK4uTO8/ACNa1twZ1oPu188auA0LEKnraMjPAD
3Pn61+vHkpQgrbecpYLP8QlfkP4x2eDssu0LPmOpXq/FF5TpunzaupGJzs+nPMUs2HjbHuIzVq14
iAUr4DGoHrd9x2csX/EdR9m6aLadVoLi+imjdNIE1R/nD0GVb3uOz1jM4jlO1/Vm2/U/Yz1z/Xr9
x2RdPqy3xQwCl/gZI8V3TOPt3/A5C1s8xbRsxrfb/X5EiibY7o/gr7fmhII2v/vFqWFsHfxPWcxB
FeEy1Lzd5w8D8ylrOYvX26IH0RvffWAITLa5zeqfsn7/lY19ikbesEOB6FqUWbacw6LtsPPQ/NaI
d9c7v/mtO9nOV2/YCbYc8YIDvvu4/F7Uftd7/8INNtvWqhAR2fnmv2bxln1eSN7vfunmYUukbPzr
VbqtLPuX+N/HYu2bsOG2P3tfixa/8Rhv1uX//D8AAAD//w==</cx:binary>
              </cx:geoCache>
            </cx:geography>
          </cx:layoutPr>
          <cx:valueColors>
            <cx:minColor>
              <a:schemeClr val="accent1">
                <a:lumMod val="40000"/>
                <a:lumOff val="60000"/>
              </a:schemeClr>
            </cx:minColor>
            <cx:maxColor>
              <a:schemeClr val="accent1">
                <a:lumMod val="75000"/>
              </a:schemeClr>
            </cx:maxColor>
          </cx:valueColors>
        </cx:series>
      </cx:plotAreaRegion>
    </cx:plotArea>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2.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6.xml"/></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hyperlink" Target="https://chandoo.org/wp/" TargetMode="External"/><Relationship Id="rId1" Type="http://schemas.openxmlformats.org/officeDocument/2006/relationships/image" Target="../media/image4.png"/><Relationship Id="rId5" Type="http://schemas.openxmlformats.org/officeDocument/2006/relationships/image" Target="../media/image6.png"/><Relationship Id="rId4" Type="http://schemas.openxmlformats.org/officeDocument/2006/relationships/hyperlink" Target="https://chandoo.org/wp/excel-school-program/" TargetMode="Externa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0</xdr:col>
      <xdr:colOff>19539</xdr:colOff>
      <xdr:row>0</xdr:row>
      <xdr:rowOff>0</xdr:rowOff>
    </xdr:from>
    <xdr:to>
      <xdr:col>3</xdr:col>
      <xdr:colOff>63082</xdr:colOff>
      <xdr:row>71</xdr:row>
      <xdr:rowOff>8792</xdr:rowOff>
    </xdr:to>
    <xdr:sp macro="" textlink="">
      <xdr:nvSpPr>
        <xdr:cNvPr id="2" name="Rectangle 1">
          <a:extLst>
            <a:ext uri="{FF2B5EF4-FFF2-40B4-BE49-F238E27FC236}">
              <a16:creationId xmlns:a16="http://schemas.microsoft.com/office/drawing/2014/main" id="{B6CFB21D-A234-4BEC-A233-1F50BF4E02FA}"/>
            </a:ext>
          </a:extLst>
        </xdr:cNvPr>
        <xdr:cNvSpPr/>
      </xdr:nvSpPr>
      <xdr:spPr>
        <a:xfrm>
          <a:off x="19539" y="0"/>
          <a:ext cx="2183005" cy="12493869"/>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72572</xdr:colOff>
      <xdr:row>0</xdr:row>
      <xdr:rowOff>18142</xdr:rowOff>
    </xdr:from>
    <xdr:to>
      <xdr:col>41</xdr:col>
      <xdr:colOff>406399</xdr:colOff>
      <xdr:row>69</xdr:row>
      <xdr:rowOff>152400</xdr:rowOff>
    </xdr:to>
    <xdr:sp macro="" textlink="">
      <xdr:nvSpPr>
        <xdr:cNvPr id="3" name="Rectangle 2">
          <a:extLst>
            <a:ext uri="{FF2B5EF4-FFF2-40B4-BE49-F238E27FC236}">
              <a16:creationId xmlns:a16="http://schemas.microsoft.com/office/drawing/2014/main" id="{356835F5-3BA5-40E1-AD09-C5394E5D490C}"/>
            </a:ext>
          </a:extLst>
        </xdr:cNvPr>
        <xdr:cNvSpPr/>
      </xdr:nvSpPr>
      <xdr:spPr>
        <a:xfrm>
          <a:off x="2218872" y="18142"/>
          <a:ext cx="25429027" cy="12402458"/>
        </a:xfrm>
        <a:prstGeom prst="rect">
          <a:avLst/>
        </a:prstGeom>
        <a:solidFill>
          <a:schemeClr val="accent1">
            <a:lumMod val="20000"/>
            <a:lumOff val="80000"/>
          </a:schemeClr>
        </a:solidFill>
        <a:effectLst>
          <a:outerShdw blurRad="50800" dist="38100" dir="10800000" algn="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VVVv</a:t>
          </a:r>
        </a:p>
      </xdr:txBody>
    </xdr:sp>
    <xdr:clientData/>
  </xdr:twoCellAnchor>
  <xdr:twoCellAnchor>
    <xdr:from>
      <xdr:col>0</xdr:col>
      <xdr:colOff>0</xdr:colOff>
      <xdr:row>2</xdr:row>
      <xdr:rowOff>54367</xdr:rowOff>
    </xdr:from>
    <xdr:to>
      <xdr:col>1</xdr:col>
      <xdr:colOff>1149350</xdr:colOff>
      <xdr:row>4</xdr:row>
      <xdr:rowOff>67833</xdr:rowOff>
    </xdr:to>
    <xdr:sp macro="" textlink="'pivot table'!G4">
      <xdr:nvSpPr>
        <xdr:cNvPr id="4" name="TextBox 3">
          <a:extLst>
            <a:ext uri="{FF2B5EF4-FFF2-40B4-BE49-F238E27FC236}">
              <a16:creationId xmlns:a16="http://schemas.microsoft.com/office/drawing/2014/main" id="{2DCF4512-640A-4584-B2C9-3DC4B457D8D0}"/>
            </a:ext>
          </a:extLst>
        </xdr:cNvPr>
        <xdr:cNvSpPr txBox="1"/>
      </xdr:nvSpPr>
      <xdr:spPr>
        <a:xfrm>
          <a:off x="0" y="406059"/>
          <a:ext cx="1501042" cy="365159"/>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D93332-2C20-406F-9081-D9D9EE0534D2}" type="TxLink">
            <a:rPr lang="en-US" sz="2400" b="1" i="0" u="none" strike="noStrike">
              <a:gradFill>
                <a:gsLst>
                  <a:gs pos="0">
                    <a:schemeClr val="bg1"/>
                  </a:gs>
                  <a:gs pos="100000">
                    <a:schemeClr val="bg1">
                      <a:lumMod val="75000"/>
                    </a:schemeClr>
                  </a:gs>
                </a:gsLst>
                <a:lin ang="5400000" scaled="0"/>
              </a:gradFill>
              <a:effectLst>
                <a:outerShdw blurRad="50800" dist="38100" dir="5400000" algn="ctr" rotWithShape="0">
                  <a:srgbClr val="000000">
                    <a:alpha val="10000"/>
                  </a:srgbClr>
                </a:outerShdw>
              </a:effectLst>
              <a:latin typeface="+mj-lt"/>
              <a:ea typeface="+mn-ea"/>
              <a:cs typeface="+mn-cs"/>
            </a:rPr>
            <a:t>2,400</a:t>
          </a:fld>
          <a:endParaRPr lang="en-US" sz="2400" b="1">
            <a:gradFill>
              <a:gsLst>
                <a:gs pos="0">
                  <a:schemeClr val="bg1"/>
                </a:gs>
                <a:gs pos="100000">
                  <a:schemeClr val="bg1">
                    <a:lumMod val="75000"/>
                  </a:schemeClr>
                </a:gs>
              </a:gsLst>
              <a:lin ang="5400000" scaled="0"/>
            </a:gradFill>
            <a:effectLst>
              <a:outerShdw blurRad="50800" dist="38100" dir="5400000" algn="ctr" rotWithShape="0">
                <a:srgbClr val="000000">
                  <a:alpha val="10000"/>
                </a:srgbClr>
              </a:outerShdw>
            </a:effectLst>
            <a:latin typeface="+mj-lt"/>
          </a:endParaRPr>
        </a:p>
      </xdr:txBody>
    </xdr:sp>
    <xdr:clientData/>
  </xdr:twoCellAnchor>
  <xdr:twoCellAnchor>
    <xdr:from>
      <xdr:col>0</xdr:col>
      <xdr:colOff>0</xdr:colOff>
      <xdr:row>6</xdr:row>
      <xdr:rowOff>54813</xdr:rowOff>
    </xdr:from>
    <xdr:to>
      <xdr:col>1</xdr:col>
      <xdr:colOff>1143000</xdr:colOff>
      <xdr:row>8</xdr:row>
      <xdr:rowOff>25786</xdr:rowOff>
    </xdr:to>
    <xdr:sp macro="" textlink="'pivot table'!H4">
      <xdr:nvSpPr>
        <xdr:cNvPr id="9" name="TextBox 8">
          <a:extLst>
            <a:ext uri="{FF2B5EF4-FFF2-40B4-BE49-F238E27FC236}">
              <a16:creationId xmlns:a16="http://schemas.microsoft.com/office/drawing/2014/main" id="{505BA77B-2DDA-4858-BEDD-80C0F5EA556A}"/>
            </a:ext>
          </a:extLst>
        </xdr:cNvPr>
        <xdr:cNvSpPr txBox="1"/>
      </xdr:nvSpPr>
      <xdr:spPr>
        <a:xfrm>
          <a:off x="0" y="1109890"/>
          <a:ext cx="1494692" cy="322665"/>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EFCB201-6A09-4458-9362-95BCCC019D2F}" type="TxLink">
            <a:rPr lang="en-US" sz="2400" b="1" i="0" u="none" strike="noStrike">
              <a:gradFill>
                <a:gsLst>
                  <a:gs pos="0">
                    <a:schemeClr val="bg1"/>
                  </a:gs>
                  <a:gs pos="100000">
                    <a:schemeClr val="bg1">
                      <a:lumMod val="75000"/>
                    </a:schemeClr>
                  </a:gs>
                </a:gsLst>
                <a:lin ang="5400000" scaled="0"/>
              </a:gradFill>
              <a:effectLst>
                <a:outerShdw blurRad="50800" dist="38100" dir="5400000" algn="ctr" rotWithShape="0">
                  <a:srgbClr val="000000">
                    <a:alpha val="10000"/>
                  </a:srgbClr>
                </a:outerShdw>
              </a:effectLst>
              <a:latin typeface="+mj-lt"/>
              <a:ea typeface="+mn-ea"/>
              <a:cs typeface="+mn-cs"/>
            </a:rPr>
            <a:pPr marL="0" indent="0"/>
            <a:t>11,997</a:t>
          </a:fld>
          <a:endParaRPr lang="en-US" sz="2400" b="1" i="0" u="none" strike="noStrike">
            <a:gradFill>
              <a:gsLst>
                <a:gs pos="0">
                  <a:schemeClr val="bg1"/>
                </a:gs>
                <a:gs pos="100000">
                  <a:schemeClr val="bg1">
                    <a:lumMod val="75000"/>
                  </a:schemeClr>
                </a:gs>
              </a:gsLst>
              <a:lin ang="5400000" scaled="0"/>
            </a:gradFill>
            <a:effectLst>
              <a:outerShdw blurRad="50800" dist="38100" dir="5400000" algn="ctr" rotWithShape="0">
                <a:srgbClr val="000000">
                  <a:alpha val="10000"/>
                </a:srgbClr>
              </a:outerShdw>
            </a:effectLst>
            <a:latin typeface="+mj-lt"/>
            <a:ea typeface="+mn-ea"/>
            <a:cs typeface="+mn-cs"/>
          </a:endParaRPr>
        </a:p>
      </xdr:txBody>
    </xdr:sp>
    <xdr:clientData/>
  </xdr:twoCellAnchor>
  <xdr:twoCellAnchor>
    <xdr:from>
      <xdr:col>0</xdr:col>
      <xdr:colOff>136770</xdr:colOff>
      <xdr:row>19</xdr:row>
      <xdr:rowOff>146538</xdr:rowOff>
    </xdr:from>
    <xdr:to>
      <xdr:col>1</xdr:col>
      <xdr:colOff>1171820</xdr:colOff>
      <xdr:row>22</xdr:row>
      <xdr:rowOff>136769</xdr:rowOff>
    </xdr:to>
    <xdr:sp macro="" textlink="'pivot table'!K4">
      <xdr:nvSpPr>
        <xdr:cNvPr id="10" name="TextBox 9">
          <a:extLst>
            <a:ext uri="{FF2B5EF4-FFF2-40B4-BE49-F238E27FC236}">
              <a16:creationId xmlns:a16="http://schemas.microsoft.com/office/drawing/2014/main" id="{81800841-0E75-44AC-86D6-3DFE4F7A1B93}"/>
            </a:ext>
          </a:extLst>
        </xdr:cNvPr>
        <xdr:cNvSpPr txBox="1"/>
      </xdr:nvSpPr>
      <xdr:spPr>
        <a:xfrm>
          <a:off x="136770" y="3487615"/>
          <a:ext cx="1386742" cy="517769"/>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02E0E2D-D743-4505-B2AE-9DD4CB371EAF}" type="TxLink">
            <a:rPr lang="en-US" sz="2400" b="1" i="0" u="none" strike="noStrike">
              <a:gradFill>
                <a:gsLst>
                  <a:gs pos="0">
                    <a:schemeClr val="bg1"/>
                  </a:gs>
                  <a:gs pos="100000">
                    <a:schemeClr val="bg1">
                      <a:lumMod val="75000"/>
                    </a:schemeClr>
                  </a:gs>
                </a:gsLst>
                <a:lin ang="5400000" scaled="0"/>
              </a:gradFill>
              <a:effectLst>
                <a:outerShdw blurRad="50800" dist="38100" dir="5400000" algn="ctr" rotWithShape="0">
                  <a:srgbClr val="000000">
                    <a:alpha val="10000"/>
                  </a:srgbClr>
                </a:outerShdw>
              </a:effectLst>
              <a:latin typeface="+mj-lt"/>
              <a:ea typeface="+mn-ea"/>
              <a:cs typeface="+mn-cs"/>
            </a:rPr>
            <a:pPr marL="0" indent="0"/>
            <a:t>2.3</a:t>
          </a:fld>
          <a:endParaRPr lang="en-US" sz="2400" b="1" i="0" u="none" strike="noStrike">
            <a:gradFill>
              <a:gsLst>
                <a:gs pos="0">
                  <a:schemeClr val="bg1"/>
                </a:gs>
                <a:gs pos="100000">
                  <a:schemeClr val="bg1">
                    <a:lumMod val="75000"/>
                  </a:schemeClr>
                </a:gs>
              </a:gsLst>
              <a:lin ang="5400000" scaled="0"/>
            </a:gradFill>
            <a:effectLst>
              <a:outerShdw blurRad="50800" dist="38100" dir="5400000" algn="ctr" rotWithShape="0">
                <a:srgbClr val="000000">
                  <a:alpha val="10000"/>
                </a:srgbClr>
              </a:outerShdw>
            </a:effectLst>
            <a:latin typeface="+mj-lt"/>
            <a:ea typeface="+mn-ea"/>
            <a:cs typeface="+mn-cs"/>
          </a:endParaRPr>
        </a:p>
      </xdr:txBody>
    </xdr:sp>
    <xdr:clientData/>
  </xdr:twoCellAnchor>
  <xdr:twoCellAnchor>
    <xdr:from>
      <xdr:col>0</xdr:col>
      <xdr:colOff>0</xdr:colOff>
      <xdr:row>14</xdr:row>
      <xdr:rowOff>121486</xdr:rowOff>
    </xdr:from>
    <xdr:to>
      <xdr:col>1</xdr:col>
      <xdr:colOff>1035050</xdr:colOff>
      <xdr:row>16</xdr:row>
      <xdr:rowOff>92459</xdr:rowOff>
    </xdr:to>
    <xdr:sp macro="" textlink="'pivot table'!J4">
      <xdr:nvSpPr>
        <xdr:cNvPr id="11" name="TextBox 10">
          <a:extLst>
            <a:ext uri="{FF2B5EF4-FFF2-40B4-BE49-F238E27FC236}">
              <a16:creationId xmlns:a16="http://schemas.microsoft.com/office/drawing/2014/main" id="{22A158AE-3B93-42D2-B807-EE2F7C60D0D6}"/>
            </a:ext>
          </a:extLst>
        </xdr:cNvPr>
        <xdr:cNvSpPr txBox="1"/>
      </xdr:nvSpPr>
      <xdr:spPr>
        <a:xfrm>
          <a:off x="0" y="2583332"/>
          <a:ext cx="1386742" cy="322665"/>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BF44164-5C4A-4711-A885-0F43DE4633E4}" type="TxLink">
            <a:rPr lang="en-US" sz="2400" b="1" i="0" u="none" strike="noStrike">
              <a:ln>
                <a:noFill/>
              </a:ln>
              <a:gradFill>
                <a:gsLst>
                  <a:gs pos="0">
                    <a:schemeClr val="bg1"/>
                  </a:gs>
                  <a:gs pos="100000">
                    <a:schemeClr val="bg1">
                      <a:lumMod val="75000"/>
                    </a:schemeClr>
                  </a:gs>
                </a:gsLst>
                <a:lin ang="5400000" scaled="0"/>
              </a:gradFill>
              <a:effectLst>
                <a:outerShdw blurRad="50800" dist="38100" dir="5400000" algn="ctr" rotWithShape="0">
                  <a:srgbClr val="000000">
                    <a:alpha val="10000"/>
                  </a:srgbClr>
                </a:outerShdw>
              </a:effectLst>
              <a:latin typeface="+mj-lt"/>
              <a:ea typeface="+mn-ea"/>
              <a:cs typeface="+mn-cs"/>
            </a:rPr>
            <a:pPr marL="0" indent="0"/>
            <a:t>4.0</a:t>
          </a:fld>
          <a:endParaRPr lang="en-US" sz="2400" b="1" i="0" u="none" strike="noStrike">
            <a:ln>
              <a:noFill/>
            </a:ln>
            <a:gradFill>
              <a:gsLst>
                <a:gs pos="0">
                  <a:schemeClr val="bg1"/>
                </a:gs>
                <a:gs pos="100000">
                  <a:schemeClr val="bg1">
                    <a:lumMod val="75000"/>
                  </a:schemeClr>
                </a:gs>
              </a:gsLst>
              <a:lin ang="5400000" scaled="0"/>
            </a:gradFill>
            <a:effectLst>
              <a:outerShdw blurRad="50800" dist="38100" dir="5400000" algn="ctr" rotWithShape="0">
                <a:srgbClr val="000000">
                  <a:alpha val="10000"/>
                </a:srgbClr>
              </a:outerShdw>
            </a:effectLst>
            <a:latin typeface="+mj-lt"/>
            <a:ea typeface="+mn-ea"/>
            <a:cs typeface="+mn-cs"/>
          </a:endParaRPr>
        </a:p>
      </xdr:txBody>
    </xdr:sp>
    <xdr:clientData/>
  </xdr:twoCellAnchor>
  <xdr:twoCellAnchor>
    <xdr:from>
      <xdr:col>0</xdr:col>
      <xdr:colOff>0</xdr:colOff>
      <xdr:row>10</xdr:row>
      <xdr:rowOff>68837</xdr:rowOff>
    </xdr:from>
    <xdr:to>
      <xdr:col>1</xdr:col>
      <xdr:colOff>1320940</xdr:colOff>
      <xdr:row>12</xdr:row>
      <xdr:rowOff>98145</xdr:rowOff>
    </xdr:to>
    <xdr:sp macro="" textlink="'pivot table'!I4">
      <xdr:nvSpPr>
        <xdr:cNvPr id="12" name="TextBox 11">
          <a:extLst>
            <a:ext uri="{FF2B5EF4-FFF2-40B4-BE49-F238E27FC236}">
              <a16:creationId xmlns:a16="http://schemas.microsoft.com/office/drawing/2014/main" id="{0A25755F-24DC-4128-ABAA-2AB0BB8C8769}"/>
            </a:ext>
          </a:extLst>
        </xdr:cNvPr>
        <xdr:cNvSpPr txBox="1"/>
      </xdr:nvSpPr>
      <xdr:spPr>
        <a:xfrm>
          <a:off x="0" y="1827299"/>
          <a:ext cx="1672632" cy="38100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CA2B807-60B8-4AD8-A314-018F7DEAD338}" type="TxLink">
            <a:rPr lang="en-US" sz="2400" b="1" i="0" u="none" strike="noStrike">
              <a:gradFill>
                <a:gsLst>
                  <a:gs pos="0">
                    <a:schemeClr val="bg1"/>
                  </a:gs>
                  <a:gs pos="100000">
                    <a:schemeClr val="bg1">
                      <a:lumMod val="75000"/>
                    </a:schemeClr>
                  </a:gs>
                </a:gsLst>
                <a:lin ang="5400000" scaled="0"/>
              </a:gradFill>
              <a:effectLst>
                <a:outerShdw blurRad="50800" dist="38100" dir="5400000" algn="ctr" rotWithShape="0">
                  <a:srgbClr val="000000">
                    <a:alpha val="10000"/>
                  </a:srgbClr>
                </a:outerShdw>
              </a:effectLst>
              <a:latin typeface="+mj-lt"/>
              <a:ea typeface="+mn-ea"/>
              <a:cs typeface="+mn-cs"/>
            </a:rPr>
            <a:pPr marL="0" indent="0"/>
            <a:t>$649.0k</a:t>
          </a:fld>
          <a:endParaRPr lang="en-US" sz="2400" b="1" i="0" u="none" strike="noStrike">
            <a:gradFill>
              <a:gsLst>
                <a:gs pos="0">
                  <a:schemeClr val="bg1"/>
                </a:gs>
                <a:gs pos="100000">
                  <a:schemeClr val="bg1">
                    <a:lumMod val="75000"/>
                  </a:schemeClr>
                </a:gs>
              </a:gsLst>
              <a:lin ang="5400000" scaled="0"/>
            </a:gradFill>
            <a:effectLst>
              <a:outerShdw blurRad="50800" dist="38100" dir="5400000" algn="ctr" rotWithShape="0">
                <a:srgbClr val="000000">
                  <a:alpha val="10000"/>
                </a:srgbClr>
              </a:outerShdw>
            </a:effectLst>
            <a:latin typeface="+mj-lt"/>
            <a:ea typeface="+mn-ea"/>
            <a:cs typeface="+mn-cs"/>
          </a:endParaRPr>
        </a:p>
      </xdr:txBody>
    </xdr:sp>
    <xdr:clientData/>
  </xdr:twoCellAnchor>
  <xdr:twoCellAnchor>
    <xdr:from>
      <xdr:col>0</xdr:col>
      <xdr:colOff>0</xdr:colOff>
      <xdr:row>8</xdr:row>
      <xdr:rowOff>21157</xdr:rowOff>
    </xdr:from>
    <xdr:to>
      <xdr:col>1</xdr:col>
      <xdr:colOff>1152770</xdr:colOff>
      <xdr:row>10</xdr:row>
      <xdr:rowOff>73466</xdr:rowOff>
    </xdr:to>
    <xdr:sp macro="" textlink="">
      <xdr:nvSpPr>
        <xdr:cNvPr id="18" name="TextBox 17">
          <a:extLst>
            <a:ext uri="{FF2B5EF4-FFF2-40B4-BE49-F238E27FC236}">
              <a16:creationId xmlns:a16="http://schemas.microsoft.com/office/drawing/2014/main" id="{5B6C129A-C8C1-4E69-8A1F-5BF72A476CF9}"/>
            </a:ext>
          </a:extLst>
        </xdr:cNvPr>
        <xdr:cNvSpPr txBox="1"/>
      </xdr:nvSpPr>
      <xdr:spPr>
        <a:xfrm>
          <a:off x="0" y="1427926"/>
          <a:ext cx="1504462" cy="404002"/>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lumMod val="85000"/>
                </a:schemeClr>
              </a:solidFill>
              <a:latin typeface="+mn-lt"/>
              <a:ea typeface="+mn-ea"/>
              <a:cs typeface="+mn-cs"/>
            </a:rPr>
            <a:t>💰Amount</a:t>
          </a:r>
        </a:p>
      </xdr:txBody>
    </xdr:sp>
    <xdr:clientData/>
  </xdr:twoCellAnchor>
  <xdr:twoCellAnchor>
    <xdr:from>
      <xdr:col>0</xdr:col>
      <xdr:colOff>0</xdr:colOff>
      <xdr:row>0</xdr:row>
      <xdr:rowOff>122495</xdr:rowOff>
    </xdr:from>
    <xdr:to>
      <xdr:col>1</xdr:col>
      <xdr:colOff>870857</xdr:colOff>
      <xdr:row>2</xdr:row>
      <xdr:rowOff>58996</xdr:rowOff>
    </xdr:to>
    <xdr:sp macro="" textlink="">
      <xdr:nvSpPr>
        <xdr:cNvPr id="25" name="TextBox 24">
          <a:extLst>
            <a:ext uri="{FF2B5EF4-FFF2-40B4-BE49-F238E27FC236}">
              <a16:creationId xmlns:a16="http://schemas.microsoft.com/office/drawing/2014/main" id="{BE65BAEF-7AC1-4B18-905B-C815E1C3A8D6}"/>
            </a:ext>
          </a:extLst>
        </xdr:cNvPr>
        <xdr:cNvSpPr txBox="1"/>
      </xdr:nvSpPr>
      <xdr:spPr>
        <a:xfrm>
          <a:off x="0" y="122495"/>
          <a:ext cx="1222549" cy="288193"/>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a:t>🛒</a:t>
          </a:r>
          <a:r>
            <a:rPr lang="en-US" sz="1800" b="1">
              <a:solidFill>
                <a:schemeClr val="bg1">
                  <a:lumMod val="85000"/>
                </a:schemeClr>
              </a:solidFill>
            </a:rPr>
            <a:t>Orders</a:t>
          </a:r>
        </a:p>
      </xdr:txBody>
    </xdr:sp>
    <xdr:clientData/>
  </xdr:twoCellAnchor>
  <xdr:twoCellAnchor>
    <xdr:from>
      <xdr:col>0</xdr:col>
      <xdr:colOff>0</xdr:colOff>
      <xdr:row>4</xdr:row>
      <xdr:rowOff>63204</xdr:rowOff>
    </xdr:from>
    <xdr:to>
      <xdr:col>1</xdr:col>
      <xdr:colOff>1211384</xdr:colOff>
      <xdr:row>6</xdr:row>
      <xdr:rowOff>59442</xdr:rowOff>
    </xdr:to>
    <xdr:sp macro="" textlink="">
      <xdr:nvSpPr>
        <xdr:cNvPr id="26" name="TextBox 25">
          <a:extLst>
            <a:ext uri="{FF2B5EF4-FFF2-40B4-BE49-F238E27FC236}">
              <a16:creationId xmlns:a16="http://schemas.microsoft.com/office/drawing/2014/main" id="{9FD277EC-52C1-421E-9D2E-88EC9A2BE98B}"/>
            </a:ext>
          </a:extLst>
        </xdr:cNvPr>
        <xdr:cNvSpPr txBox="1"/>
      </xdr:nvSpPr>
      <xdr:spPr>
        <a:xfrm>
          <a:off x="0" y="766589"/>
          <a:ext cx="1563076" cy="34793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lumMod val="85000"/>
                </a:schemeClr>
              </a:solidFill>
            </a:rPr>
            <a:t>👔Quantity</a:t>
          </a:r>
        </a:p>
      </xdr:txBody>
    </xdr:sp>
    <xdr:clientData/>
  </xdr:twoCellAnchor>
  <xdr:twoCellAnchor>
    <xdr:from>
      <xdr:col>0</xdr:col>
      <xdr:colOff>0</xdr:colOff>
      <xdr:row>16</xdr:row>
      <xdr:rowOff>87831</xdr:rowOff>
    </xdr:from>
    <xdr:to>
      <xdr:col>2</xdr:col>
      <xdr:colOff>302846</xdr:colOff>
      <xdr:row>20</xdr:row>
      <xdr:rowOff>39078</xdr:rowOff>
    </xdr:to>
    <xdr:sp macro="" textlink="">
      <xdr:nvSpPr>
        <xdr:cNvPr id="28" name="TextBox 27">
          <a:extLst>
            <a:ext uri="{FF2B5EF4-FFF2-40B4-BE49-F238E27FC236}">
              <a16:creationId xmlns:a16="http://schemas.microsoft.com/office/drawing/2014/main" id="{60F101E0-DD75-48AE-9DC6-94E392754361}"/>
            </a:ext>
          </a:extLst>
        </xdr:cNvPr>
        <xdr:cNvSpPr txBox="1"/>
      </xdr:nvSpPr>
      <xdr:spPr>
        <a:xfrm>
          <a:off x="0" y="2901369"/>
          <a:ext cx="2022231" cy="654632"/>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lumMod val="85000"/>
                </a:schemeClr>
              </a:solidFill>
            </a:rPr>
            <a:t>🗓️Avg. Days to Deliver</a:t>
          </a:r>
        </a:p>
      </xdr:txBody>
    </xdr:sp>
    <xdr:clientData/>
  </xdr:twoCellAnchor>
  <xdr:twoCellAnchor>
    <xdr:from>
      <xdr:col>0</xdr:col>
      <xdr:colOff>0</xdr:colOff>
      <xdr:row>12</xdr:row>
      <xdr:rowOff>93516</xdr:rowOff>
    </xdr:from>
    <xdr:to>
      <xdr:col>2</xdr:col>
      <xdr:colOff>108857</xdr:colOff>
      <xdr:row>14</xdr:row>
      <xdr:rowOff>126115</xdr:rowOff>
    </xdr:to>
    <xdr:sp macro="" textlink="">
      <xdr:nvSpPr>
        <xdr:cNvPr id="27" name="TextBox 26">
          <a:extLst>
            <a:ext uri="{FF2B5EF4-FFF2-40B4-BE49-F238E27FC236}">
              <a16:creationId xmlns:a16="http://schemas.microsoft.com/office/drawing/2014/main" id="{237BC19C-3875-4E22-8357-995625463FBF}"/>
            </a:ext>
          </a:extLst>
        </xdr:cNvPr>
        <xdr:cNvSpPr txBox="1"/>
      </xdr:nvSpPr>
      <xdr:spPr>
        <a:xfrm>
          <a:off x="0" y="2203670"/>
          <a:ext cx="1828242" cy="384291"/>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lumMod val="85000"/>
                </a:schemeClr>
              </a:solidFill>
            </a:rPr>
            <a:t>⭐Avg.</a:t>
          </a:r>
          <a:r>
            <a:rPr lang="en-US" sz="1800" b="1" baseline="0">
              <a:solidFill>
                <a:schemeClr val="bg1">
                  <a:lumMod val="85000"/>
                </a:schemeClr>
              </a:solidFill>
            </a:rPr>
            <a:t> Rating</a:t>
          </a:r>
          <a:endParaRPr lang="en-US" sz="1800" b="1">
            <a:solidFill>
              <a:schemeClr val="bg1">
                <a:lumMod val="85000"/>
              </a:schemeClr>
            </a:solidFill>
          </a:endParaRPr>
        </a:p>
      </xdr:txBody>
    </xdr:sp>
    <xdr:clientData/>
  </xdr:twoCellAnchor>
  <xdr:twoCellAnchor>
    <xdr:from>
      <xdr:col>3</xdr:col>
      <xdr:colOff>114300</xdr:colOff>
      <xdr:row>4</xdr:row>
      <xdr:rowOff>60359</xdr:rowOff>
    </xdr:from>
    <xdr:to>
      <xdr:col>10</xdr:col>
      <xdr:colOff>571500</xdr:colOff>
      <xdr:row>19</xdr:row>
      <xdr:rowOff>124905</xdr:rowOff>
    </xdr:to>
    <xdr:graphicFrame macro="">
      <xdr:nvGraphicFramePr>
        <xdr:cNvPr id="29" name="Chart 28">
          <a:extLst>
            <a:ext uri="{FF2B5EF4-FFF2-40B4-BE49-F238E27FC236}">
              <a16:creationId xmlns:a16="http://schemas.microsoft.com/office/drawing/2014/main" id="{CEB42BAF-4DD6-47A7-A81C-B6D8F6B34B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592017</xdr:colOff>
      <xdr:row>4</xdr:row>
      <xdr:rowOff>77177</xdr:rowOff>
    </xdr:from>
    <xdr:to>
      <xdr:col>18</xdr:col>
      <xdr:colOff>205155</xdr:colOff>
      <xdr:row>19</xdr:row>
      <xdr:rowOff>167053</xdr:rowOff>
    </xdr:to>
    <xdr:sp macro="" textlink="">
      <xdr:nvSpPr>
        <xdr:cNvPr id="46" name="Rectangle 45">
          <a:extLst>
            <a:ext uri="{FF2B5EF4-FFF2-40B4-BE49-F238E27FC236}">
              <a16:creationId xmlns:a16="http://schemas.microsoft.com/office/drawing/2014/main" id="{2CD67145-96B4-4584-8BE1-3C749364DA8D}"/>
            </a:ext>
          </a:extLst>
        </xdr:cNvPr>
        <xdr:cNvSpPr/>
      </xdr:nvSpPr>
      <xdr:spPr>
        <a:xfrm>
          <a:off x="7361117" y="788377"/>
          <a:ext cx="4896338" cy="275687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ysClr val="windowText" lastClr="000000"/>
              </a:solidFill>
            </a:rPr>
            <a:t>How they like to buy?</a:t>
          </a:r>
        </a:p>
      </xdr:txBody>
    </xdr:sp>
    <xdr:clientData/>
  </xdr:twoCellAnchor>
  <mc:AlternateContent xmlns:mc="http://schemas.openxmlformats.org/markup-compatibility/2006">
    <mc:Choice xmlns:a14="http://schemas.microsoft.com/office/drawing/2010/main" Requires="a14">
      <xdr:twoCellAnchor editAs="oneCell">
        <xdr:from>
          <xdr:col>11</xdr:col>
          <xdr:colOff>511908</xdr:colOff>
          <xdr:row>6</xdr:row>
          <xdr:rowOff>95292</xdr:rowOff>
        </xdr:from>
        <xdr:to>
          <xdr:col>17</xdr:col>
          <xdr:colOff>629139</xdr:colOff>
          <xdr:row>19</xdr:row>
          <xdr:rowOff>42146</xdr:rowOff>
        </xdr:to>
        <xdr:pic>
          <xdr:nvPicPr>
            <xdr:cNvPr id="109" name="Picture 108">
              <a:extLst>
                <a:ext uri="{FF2B5EF4-FFF2-40B4-BE49-F238E27FC236}">
                  <a16:creationId xmlns:a16="http://schemas.microsoft.com/office/drawing/2014/main" id="{F9029FD2-2F2D-466E-A78C-E20635234C8A}"/>
                </a:ext>
              </a:extLst>
            </xdr:cNvPr>
            <xdr:cNvPicPr>
              <a:picLocks noChangeAspect="1" noChangeArrowheads="1"/>
              <a:extLst>
                <a:ext uri="{84589F7E-364E-4C9E-8A38-B11213B215E9}">
                  <a14:cameraTool cellRange="pivot!$H$4:$L$9" spid="_x0000_s5255"/>
                </a:ext>
              </a:extLst>
            </xdr:cNvPicPr>
          </xdr:nvPicPr>
          <xdr:blipFill>
            <a:blip xmlns:r="http://schemas.openxmlformats.org/officeDocument/2006/relationships" r:embed="rId2"/>
            <a:srcRect/>
            <a:stretch>
              <a:fillRect/>
            </a:stretch>
          </xdr:blipFill>
          <xdr:spPr bwMode="auto">
            <a:xfrm>
              <a:off x="7941408" y="1162092"/>
              <a:ext cx="4079631" cy="2258254"/>
            </a:xfrm>
            <a:prstGeom prst="rect">
              <a:avLst/>
            </a:prstGeom>
            <a:solidFill>
              <a:schemeClr val="bg1"/>
            </a:solidFill>
          </xdr:spPr>
        </xdr:pic>
        <xdr:clientData/>
      </xdr:twoCellAnchor>
    </mc:Choice>
    <mc:Fallback/>
  </mc:AlternateContent>
  <xdr:twoCellAnchor>
    <xdr:from>
      <xdr:col>18</xdr:col>
      <xdr:colOff>356576</xdr:colOff>
      <xdr:row>4</xdr:row>
      <xdr:rowOff>42008</xdr:rowOff>
    </xdr:from>
    <xdr:to>
      <xdr:col>26</xdr:col>
      <xdr:colOff>538284</xdr:colOff>
      <xdr:row>19</xdr:row>
      <xdr:rowOff>131884</xdr:rowOff>
    </xdr:to>
    <xdr:graphicFrame macro="">
      <xdr:nvGraphicFramePr>
        <xdr:cNvPr id="111" name="Chart 110">
          <a:extLst>
            <a:ext uri="{FF2B5EF4-FFF2-40B4-BE49-F238E27FC236}">
              <a16:creationId xmlns:a16="http://schemas.microsoft.com/office/drawing/2014/main" id="{D28FB0C4-7513-48AC-9A39-71FAE25D25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268164</xdr:colOff>
      <xdr:row>20</xdr:row>
      <xdr:rowOff>88900</xdr:rowOff>
    </xdr:from>
    <xdr:to>
      <xdr:col>10</xdr:col>
      <xdr:colOff>647699</xdr:colOff>
      <xdr:row>53</xdr:row>
      <xdr:rowOff>125045</xdr:rowOff>
    </xdr:to>
    <xdr:graphicFrame macro="">
      <xdr:nvGraphicFramePr>
        <xdr:cNvPr id="112" name="Chart 111">
          <a:extLst>
            <a:ext uri="{FF2B5EF4-FFF2-40B4-BE49-F238E27FC236}">
              <a16:creationId xmlns:a16="http://schemas.microsoft.com/office/drawing/2014/main" id="{F60BA12B-FE2A-493B-8559-7E7F6FD7A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112344</xdr:colOff>
      <xdr:row>40</xdr:row>
      <xdr:rowOff>93506</xdr:rowOff>
    </xdr:from>
    <xdr:to>
      <xdr:col>9</xdr:col>
      <xdr:colOff>76058</xdr:colOff>
      <xdr:row>52</xdr:row>
      <xdr:rowOff>147934</xdr:rowOff>
    </xdr:to>
    <xdr:graphicFrame macro="">
      <xdr:nvGraphicFramePr>
        <xdr:cNvPr id="113" name="Chart 112">
          <a:extLst>
            <a:ext uri="{FF2B5EF4-FFF2-40B4-BE49-F238E27FC236}">
              <a16:creationId xmlns:a16="http://schemas.microsoft.com/office/drawing/2014/main" id="{11270B5E-7DA2-4D63-B04D-A5503E6EB4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165101</xdr:colOff>
      <xdr:row>20</xdr:row>
      <xdr:rowOff>75225</xdr:rowOff>
    </xdr:from>
    <xdr:to>
      <xdr:col>18</xdr:col>
      <xdr:colOff>174871</xdr:colOff>
      <xdr:row>52</xdr:row>
      <xdr:rowOff>137504</xdr:rowOff>
    </xdr:to>
    <mc:AlternateContent xmlns:mc="http://schemas.openxmlformats.org/markup-compatibility/2006">
      <mc:Choice xmlns:cx4="http://schemas.microsoft.com/office/drawing/2016/5/10/chartex" Requires="cx4">
        <xdr:graphicFrame macro="">
          <xdr:nvGraphicFramePr>
            <xdr:cNvPr id="116" name="Chart 115">
              <a:extLst>
                <a:ext uri="{FF2B5EF4-FFF2-40B4-BE49-F238E27FC236}">
                  <a16:creationId xmlns:a16="http://schemas.microsoft.com/office/drawing/2014/main" id="{05CAAD29-4190-4FDC-8E56-B844EB441A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594601" y="3631225"/>
              <a:ext cx="4632570" cy="575187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83457</xdr:colOff>
      <xdr:row>28</xdr:row>
      <xdr:rowOff>139702</xdr:rowOff>
    </xdr:from>
    <xdr:to>
      <xdr:col>18</xdr:col>
      <xdr:colOff>119743</xdr:colOff>
      <xdr:row>39</xdr:row>
      <xdr:rowOff>125187</xdr:rowOff>
    </xdr:to>
    <mc:AlternateContent xmlns:mc="http://schemas.openxmlformats.org/markup-compatibility/2006">
      <mc:Choice xmlns:cx4="http://schemas.microsoft.com/office/drawing/2016/5/10/chartex" Requires="cx4">
        <xdr:graphicFrame macro="">
          <xdr:nvGraphicFramePr>
            <xdr:cNvPr id="115" name="Chart 114">
              <a:extLst>
                <a:ext uri="{FF2B5EF4-FFF2-40B4-BE49-F238E27FC236}">
                  <a16:creationId xmlns:a16="http://schemas.microsoft.com/office/drawing/2014/main" id="{738AEB28-E611-4AF3-AA37-92C08EB2CD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814957" y="5118102"/>
              <a:ext cx="1357086" cy="194128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317500</xdr:colOff>
      <xdr:row>20</xdr:row>
      <xdr:rowOff>19190</xdr:rowOff>
    </xdr:from>
    <xdr:to>
      <xdr:col>26</xdr:col>
      <xdr:colOff>558799</xdr:colOff>
      <xdr:row>34</xdr:row>
      <xdr:rowOff>157285</xdr:rowOff>
    </xdr:to>
    <xdr:graphicFrame macro="">
      <xdr:nvGraphicFramePr>
        <xdr:cNvPr id="117" name="Chart 116">
          <a:extLst>
            <a:ext uri="{FF2B5EF4-FFF2-40B4-BE49-F238E27FC236}">
              <a16:creationId xmlns:a16="http://schemas.microsoft.com/office/drawing/2014/main" id="{F068429C-BA33-4893-97D1-6A7C69C98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342900</xdr:colOff>
      <xdr:row>35</xdr:row>
      <xdr:rowOff>92809</xdr:rowOff>
    </xdr:from>
    <xdr:to>
      <xdr:col>26</xdr:col>
      <xdr:colOff>546099</xdr:colOff>
      <xdr:row>51</xdr:row>
      <xdr:rowOff>102578</xdr:rowOff>
    </xdr:to>
    <xdr:graphicFrame macro="">
      <xdr:nvGraphicFramePr>
        <xdr:cNvPr id="121" name="Chart 120">
          <a:extLst>
            <a:ext uri="{FF2B5EF4-FFF2-40B4-BE49-F238E27FC236}">
              <a16:creationId xmlns:a16="http://schemas.microsoft.com/office/drawing/2014/main" id="{FEC2162C-D86B-42F7-8FA3-04F1F79AB1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31</xdr:row>
      <xdr:rowOff>172359</xdr:rowOff>
    </xdr:from>
    <xdr:to>
      <xdr:col>3</xdr:col>
      <xdr:colOff>39077</xdr:colOff>
      <xdr:row>42</xdr:row>
      <xdr:rowOff>127000</xdr:rowOff>
    </xdr:to>
    <mc:AlternateContent xmlns:mc="http://schemas.openxmlformats.org/markup-compatibility/2006">
      <mc:Choice xmlns:a14="http://schemas.microsoft.com/office/drawing/2010/main" Requires="a14">
        <xdr:graphicFrame macro="">
          <xdr:nvGraphicFramePr>
            <xdr:cNvPr id="122" name="Order Mode">
              <a:extLst>
                <a:ext uri="{FF2B5EF4-FFF2-40B4-BE49-F238E27FC236}">
                  <a16:creationId xmlns:a16="http://schemas.microsoft.com/office/drawing/2014/main" id="{E26A3019-6714-4F7D-B525-1196A11989E6}"/>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0" y="5623590"/>
              <a:ext cx="2178539" cy="18889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4535</xdr:rowOff>
    </xdr:from>
    <xdr:to>
      <xdr:col>3</xdr:col>
      <xdr:colOff>36287</xdr:colOff>
      <xdr:row>31</xdr:row>
      <xdr:rowOff>48845</xdr:rowOff>
    </xdr:to>
    <mc:AlternateContent xmlns:mc="http://schemas.openxmlformats.org/markup-compatibility/2006">
      <mc:Choice xmlns:a14="http://schemas.microsoft.com/office/drawing/2010/main" Requires="a14">
        <xdr:graphicFrame macro="">
          <xdr:nvGraphicFramePr>
            <xdr:cNvPr id="123" name="Gender Value">
              <a:extLst>
                <a:ext uri="{FF2B5EF4-FFF2-40B4-BE49-F238E27FC236}">
                  <a16:creationId xmlns:a16="http://schemas.microsoft.com/office/drawing/2014/main" id="{46982B05-8242-4C82-BE54-252CCA3D2028}"/>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0" y="4048997"/>
              <a:ext cx="2175749" cy="14510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114300</xdr:colOff>
      <xdr:row>0</xdr:row>
      <xdr:rowOff>12700</xdr:rowOff>
    </xdr:from>
    <xdr:to>
      <xdr:col>27</xdr:col>
      <xdr:colOff>63500</xdr:colOff>
      <xdr:row>4</xdr:row>
      <xdr:rowOff>38100</xdr:rowOff>
    </xdr:to>
    <xdr:sp macro="" textlink="">
      <xdr:nvSpPr>
        <xdr:cNvPr id="47" name="TextBox 46">
          <a:extLst>
            <a:ext uri="{FF2B5EF4-FFF2-40B4-BE49-F238E27FC236}">
              <a16:creationId xmlns:a16="http://schemas.microsoft.com/office/drawing/2014/main" id="{BE2BB876-F58D-43CA-9F1A-0F47D9591D6C}"/>
            </a:ext>
          </a:extLst>
        </xdr:cNvPr>
        <xdr:cNvSpPr txBox="1"/>
      </xdr:nvSpPr>
      <xdr:spPr>
        <a:xfrm>
          <a:off x="2260600" y="12700"/>
          <a:ext cx="15798800" cy="73660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latin typeface="Comic Sans MS" panose="030F0702030302020204" pitchFamily="66" charset="0"/>
            </a:rPr>
            <a:t>E-Commerce</a:t>
          </a:r>
          <a:r>
            <a:rPr lang="en-US" sz="4000" b="1" baseline="0">
              <a:latin typeface="Comic Sans MS" panose="030F0702030302020204" pitchFamily="66" charset="0"/>
            </a:rPr>
            <a:t> Sales &amp; Customer Analytics Dashboard</a:t>
          </a:r>
        </a:p>
        <a:p>
          <a:endParaRPr lang="en-US" sz="20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324130</xdr:colOff>
      <xdr:row>3</xdr:row>
      <xdr:rowOff>76322</xdr:rowOff>
    </xdr:to>
    <xdr:pic>
      <xdr:nvPicPr>
        <xdr:cNvPr id="2" name="Picture 1">
          <a:extLst>
            <a:ext uri="{FF2B5EF4-FFF2-40B4-BE49-F238E27FC236}">
              <a16:creationId xmlns:a16="http://schemas.microsoft.com/office/drawing/2014/main" id="{113BF637-9F8C-404F-8B9A-8AB22E64E926}"/>
            </a:ext>
          </a:extLst>
        </xdr:cNvPr>
        <xdr:cNvPicPr>
          <a:picLocks noChangeAspect="1"/>
        </xdr:cNvPicPr>
      </xdr:nvPicPr>
      <xdr:blipFill>
        <a:blip xmlns:r="http://schemas.openxmlformats.org/officeDocument/2006/relationships" r:embed="rId1" cstate="print">
          <a:duotone>
            <a:prstClr val="black"/>
            <a:schemeClr val="accent2">
              <a:tint val="45000"/>
              <a:satMod val="400000"/>
            </a:schemeClr>
          </a:duotone>
          <a:extLst>
            <a:ext uri="{28A0092B-C50C-407E-A947-70E740481C1C}">
              <a14:useLocalDpi xmlns:a14="http://schemas.microsoft.com/office/drawing/2010/main" val="0"/>
            </a:ext>
          </a:extLst>
        </a:blip>
        <a:srcRect/>
        <a:stretch/>
      </xdr:blipFill>
      <xdr:spPr>
        <a:xfrm>
          <a:off x="1219200" y="182880"/>
          <a:ext cx="1543330" cy="442082"/>
        </a:xfrm>
        <a:prstGeom prst="rect">
          <a:avLst/>
        </a:prstGeom>
      </xdr:spPr>
    </xdr:pic>
    <xdr:clientData/>
  </xdr:twoCellAnchor>
  <xdr:twoCellAnchor editAs="oneCell">
    <xdr:from>
      <xdr:col>1</xdr:col>
      <xdr:colOff>0</xdr:colOff>
      <xdr:row>27</xdr:row>
      <xdr:rowOff>0</xdr:rowOff>
    </xdr:from>
    <xdr:to>
      <xdr:col>3</xdr:col>
      <xdr:colOff>304800</xdr:colOff>
      <xdr:row>29</xdr:row>
      <xdr:rowOff>67829</xdr:rowOff>
    </xdr:to>
    <xdr:pic>
      <xdr:nvPicPr>
        <xdr:cNvPr id="3" name="Picture 2">
          <a:hlinkClick xmlns:r="http://schemas.openxmlformats.org/officeDocument/2006/relationships" r:id="rId2"/>
          <a:extLst>
            <a:ext uri="{FF2B5EF4-FFF2-40B4-BE49-F238E27FC236}">
              <a16:creationId xmlns:a16="http://schemas.microsoft.com/office/drawing/2014/main" id="{602BB025-83F9-4955-BC88-7D277D7994E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8600" y="4937760"/>
          <a:ext cx="1524000" cy="433589"/>
        </a:xfrm>
        <a:prstGeom prst="rect">
          <a:avLst/>
        </a:prstGeom>
      </xdr:spPr>
    </xdr:pic>
    <xdr:clientData/>
  </xdr:twoCellAnchor>
  <xdr:twoCellAnchor editAs="oneCell">
    <xdr:from>
      <xdr:col>7</xdr:col>
      <xdr:colOff>1</xdr:colOff>
      <xdr:row>7</xdr:row>
      <xdr:rowOff>1</xdr:rowOff>
    </xdr:from>
    <xdr:to>
      <xdr:col>7</xdr:col>
      <xdr:colOff>2844801</xdr:colOff>
      <xdr:row>21</xdr:row>
      <xdr:rowOff>1</xdr:rowOff>
    </xdr:to>
    <xdr:pic>
      <xdr:nvPicPr>
        <xdr:cNvPr id="5" name="Picture 4">
          <a:hlinkClick xmlns:r="http://schemas.openxmlformats.org/officeDocument/2006/relationships" r:id="rId4"/>
          <a:extLst>
            <a:ext uri="{FF2B5EF4-FFF2-40B4-BE49-F238E27FC236}">
              <a16:creationId xmlns:a16="http://schemas.microsoft.com/office/drawing/2014/main" id="{87527581-9CC7-32E2-D643-E625DB568FA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86201" y="1280161"/>
          <a:ext cx="2560320" cy="25603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oze" refreshedDate="46251.483856481478" createdVersion="7" refreshedVersion="7" minRefreshableVersion="3" recordCount="2400" xr:uid="{CD27342D-9AA6-4D49-A058-B911CC87A858}">
  <cacheSource type="worksheet">
    <worksheetSource name="orders"/>
  </cacheSource>
  <cacheFields count="17">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6"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2"/>
          <x v="3"/>
          <x v="4"/>
          <x v="0"/>
          <x v="1"/>
          <x v="1"/>
          <x v="1"/>
          <x v="0"/>
          <x v="0"/>
          <x v="6"/>
          <x v="1"/>
          <x v="0"/>
          <x v="5"/>
          <x v="0"/>
          <x v="1"/>
          <x v="1"/>
          <x v="1"/>
          <x v="1"/>
          <x v="1"/>
          <x v="1"/>
          <x v="1"/>
          <x v="1"/>
          <x v="1"/>
          <x v="1"/>
          <x v="1"/>
          <x v="1"/>
          <x v="1"/>
          <x v="1"/>
          <x v="1"/>
          <x v="1"/>
          <x v="1"/>
          <x v="1"/>
          <x v="1"/>
          <x v="1"/>
          <x v="1"/>
          <x v="1"/>
          <x v="1"/>
          <x v="1"/>
          <x v="1"/>
          <x v="1"/>
          <x v="1"/>
          <x v="1"/>
          <x v="1"/>
          <x v="1"/>
          <x v="1"/>
          <x v="1"/>
          <x v="1"/>
          <x v="1"/>
        </discretePr>
        <groupItems count="7">
          <s v="Group1"/>
          <s v="Group2"/>
          <s v="1"/>
          <s v="2"/>
          <s v="3"/>
          <s v="4"/>
          <s v="5"/>
        </groupItems>
      </fieldGroup>
    </cacheField>
    <cacheField name="Months" numFmtId="0" databaseField="0">
      <fieldGroup base="5">
        <rangePr groupBy="months" startDate="2025-01-01T00:00:00" endDate="2025-03-30T00:00:00"/>
        <groupItems count="14">
          <s v="&lt;01/01/2025"/>
          <s v="Jan"/>
          <s v="Feb"/>
          <s v="Mar"/>
          <s v="Apr"/>
          <s v="May"/>
          <s v="Jun"/>
          <s v="Jul"/>
          <s v="Aug"/>
          <s v="Sept"/>
          <s v="Oct"/>
          <s v="Nov"/>
          <s v="Dec"/>
          <s v="&gt;30/03/2025"/>
        </groupItems>
      </fieldGroup>
    </cacheField>
  </cacheFields>
  <extLst>
    <ext xmlns:x14="http://schemas.microsoft.com/office/spreadsheetml/2009/9/main" uri="{725AE2AE-9491-48be-B2B4-4EB974FC3084}">
      <x14:pivotCacheDefinition pivotCacheId="10791256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x v="0"/>
    <x v="0"/>
    <x v="0"/>
    <x v="0"/>
    <x v="0"/>
    <x v="0"/>
    <x v="0"/>
    <x v="0"/>
  </r>
  <r>
    <x v="1"/>
    <x v="1"/>
    <x v="1"/>
    <n v="30.6"/>
    <n v="61.2"/>
    <x v="0"/>
    <d v="2025-01-03T00:00:00"/>
    <x v="1"/>
    <x v="0"/>
    <x v="0"/>
    <x v="0"/>
    <x v="1"/>
    <x v="1"/>
    <x v="0"/>
    <x v="1"/>
  </r>
  <r>
    <x v="2"/>
    <x v="2"/>
    <x v="2"/>
    <n v="109.4"/>
    <n v="328.20000000000005"/>
    <x v="0"/>
    <d v="2025-01-04T00:00:00"/>
    <x v="2"/>
    <x v="0"/>
    <x v="1"/>
    <x v="0"/>
    <x v="2"/>
    <x v="2"/>
    <x v="0"/>
    <x v="2"/>
  </r>
  <r>
    <x v="3"/>
    <x v="3"/>
    <x v="3"/>
    <n v="37.700000000000003"/>
    <n v="263.90000000000003"/>
    <x v="0"/>
    <d v="2025-01-02T00:00:00"/>
    <x v="2"/>
    <x v="0"/>
    <x v="0"/>
    <x v="0"/>
    <x v="2"/>
    <x v="3"/>
    <x v="0"/>
    <x v="2"/>
  </r>
  <r>
    <x v="4"/>
    <x v="4"/>
    <x v="2"/>
    <n v="56.7"/>
    <n v="170.10000000000002"/>
    <x v="0"/>
    <d v="2025-01-04T00:00:00"/>
    <x v="2"/>
    <x v="0"/>
    <x v="2"/>
    <x v="0"/>
    <x v="3"/>
    <x v="2"/>
    <x v="0"/>
    <x v="2"/>
  </r>
  <r>
    <x v="5"/>
    <x v="1"/>
    <x v="4"/>
    <n v="83.5"/>
    <n v="1002"/>
    <x v="0"/>
    <d v="2025-01-04T00:00:00"/>
    <x v="1"/>
    <x v="1"/>
    <x v="0"/>
    <x v="0"/>
    <x v="3"/>
    <x v="2"/>
    <x v="0"/>
    <x v="1"/>
  </r>
  <r>
    <x v="6"/>
    <x v="5"/>
    <x v="0"/>
    <n v="55.3"/>
    <n v="55.3"/>
    <x v="0"/>
    <d v="2025-01-02T00:00:00"/>
    <x v="2"/>
    <x v="0"/>
    <x v="0"/>
    <x v="0"/>
    <x v="3"/>
    <x v="3"/>
    <x v="0"/>
    <x v="2"/>
  </r>
  <r>
    <x v="7"/>
    <x v="6"/>
    <x v="1"/>
    <n v="40.299999999999997"/>
    <n v="80.599999999999994"/>
    <x v="0"/>
    <d v="2025-01-02T00:00:00"/>
    <x v="1"/>
    <x v="2"/>
    <x v="2"/>
    <x v="0"/>
    <x v="3"/>
    <x v="3"/>
    <x v="0"/>
    <x v="1"/>
  </r>
  <r>
    <x v="8"/>
    <x v="7"/>
    <x v="5"/>
    <n v="35.700000000000003"/>
    <n v="392.70000000000005"/>
    <x v="0"/>
    <d v="2025-01-02T00:00:00"/>
    <x v="2"/>
    <x v="0"/>
    <x v="0"/>
    <x v="0"/>
    <x v="3"/>
    <x v="3"/>
    <x v="0"/>
    <x v="2"/>
  </r>
  <r>
    <x v="9"/>
    <x v="8"/>
    <x v="3"/>
    <n v="22.4"/>
    <n v="156.79999999999998"/>
    <x v="0"/>
    <d v="2025-01-04T00:00:00"/>
    <x v="1"/>
    <x v="0"/>
    <x v="1"/>
    <x v="0"/>
    <x v="3"/>
    <x v="2"/>
    <x v="0"/>
    <x v="1"/>
  </r>
  <r>
    <x v="10"/>
    <x v="9"/>
    <x v="1"/>
    <n v="54.4"/>
    <n v="108.8"/>
    <x v="0"/>
    <d v="2025-01-07T00:00:00"/>
    <x v="2"/>
    <x v="0"/>
    <x v="0"/>
    <x v="0"/>
    <x v="3"/>
    <x v="4"/>
    <x v="0"/>
    <x v="2"/>
  </r>
  <r>
    <x v="11"/>
    <x v="9"/>
    <x v="1"/>
    <n v="49"/>
    <n v="98"/>
    <x v="0"/>
    <d v="2025-01-03T00:00:00"/>
    <x v="2"/>
    <x v="2"/>
    <x v="1"/>
    <x v="0"/>
    <x v="3"/>
    <x v="1"/>
    <x v="0"/>
    <x v="2"/>
  </r>
  <r>
    <x v="12"/>
    <x v="5"/>
    <x v="3"/>
    <n v="118.6"/>
    <n v="830.19999999999993"/>
    <x v="0"/>
    <d v="2025-01-05T00:00:00"/>
    <x v="2"/>
    <x v="1"/>
    <x v="0"/>
    <x v="0"/>
    <x v="4"/>
    <x v="5"/>
    <x v="0"/>
    <x v="2"/>
  </r>
  <r>
    <x v="13"/>
    <x v="6"/>
    <x v="6"/>
    <n v="88.4"/>
    <n v="2386.8000000000002"/>
    <x v="0"/>
    <d v="2025-01-08T00:00:00"/>
    <x v="1"/>
    <x v="3"/>
    <x v="0"/>
    <x v="0"/>
    <x v="5"/>
    <x v="6"/>
    <x v="0"/>
    <x v="1"/>
  </r>
  <r>
    <x v="14"/>
    <x v="10"/>
    <x v="0"/>
    <n v="66.7"/>
    <n v="66.7"/>
    <x v="0"/>
    <d v="2025-01-04T00:00:00"/>
    <x v="1"/>
    <x v="0"/>
    <x v="0"/>
    <x v="0"/>
    <x v="6"/>
    <x v="2"/>
    <x v="0"/>
    <x v="1"/>
  </r>
  <r>
    <x v="15"/>
    <x v="9"/>
    <x v="7"/>
    <n v="30.9"/>
    <n v="309"/>
    <x v="0"/>
    <d v="2025-01-02T00:00:00"/>
    <x v="1"/>
    <x v="1"/>
    <x v="2"/>
    <x v="0"/>
    <x v="6"/>
    <x v="3"/>
    <x v="0"/>
    <x v="1"/>
  </r>
  <r>
    <x v="16"/>
    <x v="4"/>
    <x v="2"/>
    <n v="31.1"/>
    <n v="93.300000000000011"/>
    <x v="0"/>
    <d v="2025-01-02T00:00:00"/>
    <x v="2"/>
    <x v="0"/>
    <x v="1"/>
    <x v="0"/>
    <x v="6"/>
    <x v="3"/>
    <x v="0"/>
    <x v="2"/>
  </r>
  <r>
    <x v="17"/>
    <x v="7"/>
    <x v="2"/>
    <n v="36.6"/>
    <n v="109.80000000000001"/>
    <x v="0"/>
    <d v="2025-01-04T00:00:00"/>
    <x v="2"/>
    <x v="0"/>
    <x v="0"/>
    <x v="0"/>
    <x v="7"/>
    <x v="2"/>
    <x v="0"/>
    <x v="2"/>
  </r>
  <r>
    <x v="18"/>
    <x v="6"/>
    <x v="8"/>
    <n v="51.1"/>
    <n v="408.8"/>
    <x v="0"/>
    <d v="2025-01-04T00:00:00"/>
    <x v="2"/>
    <x v="2"/>
    <x v="3"/>
    <x v="0"/>
    <x v="7"/>
    <x v="2"/>
    <x v="0"/>
    <x v="2"/>
  </r>
  <r>
    <x v="19"/>
    <x v="9"/>
    <x v="0"/>
    <n v="25.2"/>
    <n v="25.2"/>
    <x v="0"/>
    <d v="2025-01-02T00:00:00"/>
    <x v="2"/>
    <x v="1"/>
    <x v="2"/>
    <x v="0"/>
    <x v="8"/>
    <x v="3"/>
    <x v="0"/>
    <x v="2"/>
  </r>
  <r>
    <x v="20"/>
    <x v="9"/>
    <x v="9"/>
    <n v="43.8"/>
    <n v="219"/>
    <x v="0"/>
    <d v="2025-01-04T00:00:00"/>
    <x v="2"/>
    <x v="2"/>
    <x v="0"/>
    <x v="0"/>
    <x v="8"/>
    <x v="2"/>
    <x v="0"/>
    <x v="2"/>
  </r>
  <r>
    <x v="21"/>
    <x v="8"/>
    <x v="4"/>
    <n v="46.7"/>
    <n v="560.40000000000009"/>
    <x v="0"/>
    <d v="2025-01-02T00:00:00"/>
    <x v="2"/>
    <x v="1"/>
    <x v="1"/>
    <x v="0"/>
    <x v="8"/>
    <x v="3"/>
    <x v="0"/>
    <x v="2"/>
  </r>
  <r>
    <x v="22"/>
    <x v="3"/>
    <x v="10"/>
    <n v="79.900000000000006"/>
    <n v="1518.1000000000001"/>
    <x v="0"/>
    <d v="2025-01-02T00:00:00"/>
    <x v="1"/>
    <x v="0"/>
    <x v="2"/>
    <x v="0"/>
    <x v="8"/>
    <x v="3"/>
    <x v="0"/>
    <x v="1"/>
  </r>
  <r>
    <x v="23"/>
    <x v="11"/>
    <x v="8"/>
    <n v="26.4"/>
    <n v="211.2"/>
    <x v="0"/>
    <d v="2025-01-02T00:00:00"/>
    <x v="2"/>
    <x v="3"/>
    <x v="0"/>
    <x v="0"/>
    <x v="8"/>
    <x v="3"/>
    <x v="0"/>
    <x v="2"/>
  </r>
  <r>
    <x v="24"/>
    <x v="12"/>
    <x v="8"/>
    <n v="88.8"/>
    <n v="710.4"/>
    <x v="0"/>
    <d v="2025-01-02T00:00:00"/>
    <x v="2"/>
    <x v="4"/>
    <x v="0"/>
    <x v="0"/>
    <x v="8"/>
    <x v="3"/>
    <x v="0"/>
    <x v="2"/>
  </r>
  <r>
    <x v="25"/>
    <x v="0"/>
    <x v="7"/>
    <n v="17.5"/>
    <n v="175"/>
    <x v="0"/>
    <d v="2025-01-02T00:00:00"/>
    <x v="2"/>
    <x v="2"/>
    <x v="0"/>
    <x v="0"/>
    <x v="9"/>
    <x v="3"/>
    <x v="0"/>
    <x v="2"/>
  </r>
  <r>
    <x v="26"/>
    <x v="1"/>
    <x v="11"/>
    <n v="38.700000000000003"/>
    <n v="348.3"/>
    <x v="0"/>
    <d v="2025-01-04T00:00:00"/>
    <x v="1"/>
    <x v="1"/>
    <x v="0"/>
    <x v="0"/>
    <x v="10"/>
    <x v="2"/>
    <x v="0"/>
    <x v="1"/>
  </r>
  <r>
    <x v="27"/>
    <x v="13"/>
    <x v="12"/>
    <n v="57.2"/>
    <n v="228.8"/>
    <x v="0"/>
    <d v="2025-01-03T00:00:00"/>
    <x v="0"/>
    <x v="1"/>
    <x v="2"/>
    <x v="0"/>
    <x v="11"/>
    <x v="1"/>
    <x v="0"/>
    <x v="0"/>
  </r>
  <r>
    <x v="28"/>
    <x v="6"/>
    <x v="9"/>
    <n v="50.9"/>
    <n v="254.5"/>
    <x v="0"/>
    <d v="2025-01-07T00:00:00"/>
    <x v="0"/>
    <x v="1"/>
    <x v="2"/>
    <x v="0"/>
    <x v="12"/>
    <x v="4"/>
    <x v="0"/>
    <x v="0"/>
  </r>
  <r>
    <x v="29"/>
    <x v="14"/>
    <x v="3"/>
    <n v="41"/>
    <n v="287"/>
    <x v="0"/>
    <d v="2025-01-05T00:00:00"/>
    <x v="2"/>
    <x v="1"/>
    <x v="0"/>
    <x v="0"/>
    <x v="13"/>
    <x v="5"/>
    <x v="0"/>
    <x v="2"/>
  </r>
  <r>
    <x v="30"/>
    <x v="8"/>
    <x v="3"/>
    <n v="19.100000000000001"/>
    <n v="133.70000000000002"/>
    <x v="0"/>
    <d v="2025-01-05T00:00:00"/>
    <x v="1"/>
    <x v="0"/>
    <x v="2"/>
    <x v="0"/>
    <x v="14"/>
    <x v="5"/>
    <x v="0"/>
    <x v="1"/>
  </r>
  <r>
    <x v="31"/>
    <x v="2"/>
    <x v="9"/>
    <n v="166.1"/>
    <n v="830.5"/>
    <x v="0"/>
    <d v="2025-01-04T00:00:00"/>
    <x v="1"/>
    <x v="0"/>
    <x v="0"/>
    <x v="0"/>
    <x v="15"/>
    <x v="2"/>
    <x v="0"/>
    <x v="1"/>
  </r>
  <r>
    <x v="32"/>
    <x v="4"/>
    <x v="2"/>
    <n v="29.9"/>
    <n v="89.699999999999989"/>
    <x v="0"/>
    <d v="2025-01-02T00:00:00"/>
    <x v="1"/>
    <x v="3"/>
    <x v="0"/>
    <x v="0"/>
    <x v="3"/>
    <x v="3"/>
    <x v="0"/>
    <x v="1"/>
  </r>
  <r>
    <x v="33"/>
    <x v="10"/>
    <x v="13"/>
    <n v="21.7"/>
    <n v="130.19999999999999"/>
    <x v="0"/>
    <d v="2025-01-03T00:00:00"/>
    <x v="3"/>
    <x v="2"/>
    <x v="2"/>
    <x v="0"/>
    <x v="3"/>
    <x v="1"/>
    <x v="0"/>
    <x v="3"/>
  </r>
  <r>
    <x v="34"/>
    <x v="11"/>
    <x v="1"/>
    <n v="32"/>
    <n v="64"/>
    <x v="0"/>
    <d v="2025-01-04T00:00:00"/>
    <x v="1"/>
    <x v="0"/>
    <x v="2"/>
    <x v="0"/>
    <x v="3"/>
    <x v="2"/>
    <x v="0"/>
    <x v="1"/>
  </r>
  <r>
    <x v="35"/>
    <x v="8"/>
    <x v="1"/>
    <n v="15.8"/>
    <n v="31.6"/>
    <x v="0"/>
    <d v="2025-01-02T00:00:00"/>
    <x v="1"/>
    <x v="4"/>
    <x v="2"/>
    <x v="0"/>
    <x v="3"/>
    <x v="3"/>
    <x v="0"/>
    <x v="1"/>
  </r>
  <r>
    <x v="36"/>
    <x v="2"/>
    <x v="14"/>
    <n v="203.1"/>
    <n v="3452.7"/>
    <x v="0"/>
    <d v="2025-01-05T00:00:00"/>
    <x v="1"/>
    <x v="3"/>
    <x v="1"/>
    <x v="0"/>
    <x v="3"/>
    <x v="5"/>
    <x v="0"/>
    <x v="1"/>
  </r>
  <r>
    <x v="37"/>
    <x v="7"/>
    <x v="15"/>
    <n v="39"/>
    <n v="507"/>
    <x v="0"/>
    <d v="2025-01-07T00:00:00"/>
    <x v="1"/>
    <x v="0"/>
    <x v="2"/>
    <x v="0"/>
    <x v="3"/>
    <x v="4"/>
    <x v="0"/>
    <x v="1"/>
  </r>
  <r>
    <x v="38"/>
    <x v="10"/>
    <x v="0"/>
    <n v="26.5"/>
    <n v="26.5"/>
    <x v="1"/>
    <d v="2025-01-03T00:00:00"/>
    <x v="1"/>
    <x v="2"/>
    <x v="0"/>
    <x v="0"/>
    <x v="3"/>
    <x v="3"/>
    <x v="0"/>
    <x v="1"/>
  </r>
  <r>
    <x v="39"/>
    <x v="5"/>
    <x v="0"/>
    <n v="43.1"/>
    <n v="43.1"/>
    <x v="1"/>
    <d v="2025-01-03T00:00:00"/>
    <x v="2"/>
    <x v="2"/>
    <x v="1"/>
    <x v="0"/>
    <x v="3"/>
    <x v="3"/>
    <x v="0"/>
    <x v="2"/>
  </r>
  <r>
    <x v="40"/>
    <x v="1"/>
    <x v="2"/>
    <n v="139"/>
    <n v="417"/>
    <x v="1"/>
    <d v="2025-01-03T00:00:00"/>
    <x v="2"/>
    <x v="4"/>
    <x v="2"/>
    <x v="0"/>
    <x v="3"/>
    <x v="3"/>
    <x v="0"/>
    <x v="2"/>
  </r>
  <r>
    <x v="41"/>
    <x v="12"/>
    <x v="0"/>
    <n v="80.7"/>
    <n v="80.7"/>
    <x v="1"/>
    <d v="2025-01-03T00:00:00"/>
    <x v="1"/>
    <x v="0"/>
    <x v="2"/>
    <x v="0"/>
    <x v="16"/>
    <x v="3"/>
    <x v="0"/>
    <x v="1"/>
  </r>
  <r>
    <x v="42"/>
    <x v="4"/>
    <x v="1"/>
    <n v="54.5"/>
    <n v="109"/>
    <x v="1"/>
    <d v="2025-01-04T00:00:00"/>
    <x v="1"/>
    <x v="1"/>
    <x v="1"/>
    <x v="0"/>
    <x v="6"/>
    <x v="1"/>
    <x v="0"/>
    <x v="1"/>
  </r>
  <r>
    <x v="43"/>
    <x v="6"/>
    <x v="2"/>
    <n v="68.599999999999994"/>
    <n v="205.79999999999998"/>
    <x v="1"/>
    <d v="2025-01-02T00:00:00"/>
    <x v="2"/>
    <x v="0"/>
    <x v="1"/>
    <x v="0"/>
    <x v="8"/>
    <x v="7"/>
    <x v="0"/>
    <x v="2"/>
  </r>
  <r>
    <x v="44"/>
    <x v="2"/>
    <x v="12"/>
    <n v="135.9"/>
    <n v="543.6"/>
    <x v="1"/>
    <d v="2025-01-03T00:00:00"/>
    <x v="2"/>
    <x v="2"/>
    <x v="2"/>
    <x v="0"/>
    <x v="8"/>
    <x v="3"/>
    <x v="0"/>
    <x v="2"/>
  </r>
  <r>
    <x v="45"/>
    <x v="2"/>
    <x v="12"/>
    <n v="70.900000000000006"/>
    <n v="283.60000000000002"/>
    <x v="1"/>
    <d v="2025-01-03T00:00:00"/>
    <x v="2"/>
    <x v="0"/>
    <x v="0"/>
    <x v="0"/>
    <x v="17"/>
    <x v="3"/>
    <x v="0"/>
    <x v="2"/>
  </r>
  <r>
    <x v="46"/>
    <x v="1"/>
    <x v="9"/>
    <n v="63.7"/>
    <n v="318.5"/>
    <x v="1"/>
    <d v="2025-01-03T00:00:00"/>
    <x v="1"/>
    <x v="1"/>
    <x v="1"/>
    <x v="0"/>
    <x v="9"/>
    <x v="3"/>
    <x v="0"/>
    <x v="1"/>
  </r>
  <r>
    <x v="47"/>
    <x v="13"/>
    <x v="0"/>
    <n v="29.7"/>
    <n v="29.7"/>
    <x v="1"/>
    <d v="2025-01-04T00:00:00"/>
    <x v="2"/>
    <x v="1"/>
    <x v="0"/>
    <x v="0"/>
    <x v="11"/>
    <x v="1"/>
    <x v="0"/>
    <x v="2"/>
  </r>
  <r>
    <x v="48"/>
    <x v="4"/>
    <x v="2"/>
    <n v="26.8"/>
    <n v="80.400000000000006"/>
    <x v="1"/>
    <d v="2025-01-11T00:00:00"/>
    <x v="2"/>
    <x v="1"/>
    <x v="2"/>
    <x v="0"/>
    <x v="11"/>
    <x v="8"/>
    <x v="0"/>
    <x v="2"/>
  </r>
  <r>
    <x v="49"/>
    <x v="14"/>
    <x v="0"/>
    <n v="27"/>
    <n v="27"/>
    <x v="1"/>
    <d v="2025-01-04T00:00:00"/>
    <x v="2"/>
    <x v="0"/>
    <x v="0"/>
    <x v="0"/>
    <x v="18"/>
    <x v="1"/>
    <x v="0"/>
    <x v="2"/>
  </r>
  <r>
    <x v="50"/>
    <x v="8"/>
    <x v="0"/>
    <n v="41.4"/>
    <n v="41.4"/>
    <x v="1"/>
    <d v="2025-01-03T00:00:00"/>
    <x v="1"/>
    <x v="1"/>
    <x v="2"/>
    <x v="0"/>
    <x v="19"/>
    <x v="3"/>
    <x v="0"/>
    <x v="1"/>
  </r>
  <r>
    <x v="51"/>
    <x v="8"/>
    <x v="1"/>
    <n v="24.3"/>
    <n v="48.6"/>
    <x v="1"/>
    <d v="2025-01-05T00:00:00"/>
    <x v="2"/>
    <x v="1"/>
    <x v="0"/>
    <x v="0"/>
    <x v="19"/>
    <x v="2"/>
    <x v="0"/>
    <x v="2"/>
  </r>
  <r>
    <x v="52"/>
    <x v="8"/>
    <x v="2"/>
    <n v="41.7"/>
    <n v="125.10000000000001"/>
    <x v="1"/>
    <d v="2025-01-04T00:00:00"/>
    <x v="1"/>
    <x v="0"/>
    <x v="2"/>
    <x v="0"/>
    <x v="20"/>
    <x v="1"/>
    <x v="0"/>
    <x v="1"/>
  </r>
  <r>
    <x v="53"/>
    <x v="0"/>
    <x v="1"/>
    <n v="18"/>
    <n v="36"/>
    <x v="1"/>
    <d v="2025-01-03T00:00:00"/>
    <x v="2"/>
    <x v="0"/>
    <x v="2"/>
    <x v="0"/>
    <x v="21"/>
    <x v="3"/>
    <x v="0"/>
    <x v="2"/>
  </r>
  <r>
    <x v="54"/>
    <x v="7"/>
    <x v="2"/>
    <n v="91.3"/>
    <n v="273.89999999999998"/>
    <x v="1"/>
    <d v="2025-01-05T00:00:00"/>
    <x v="1"/>
    <x v="2"/>
    <x v="2"/>
    <x v="0"/>
    <x v="3"/>
    <x v="2"/>
    <x v="0"/>
    <x v="1"/>
  </r>
  <r>
    <x v="55"/>
    <x v="8"/>
    <x v="8"/>
    <n v="19.3"/>
    <n v="154.4"/>
    <x v="1"/>
    <d v="2025-01-03T00:00:00"/>
    <x v="1"/>
    <x v="0"/>
    <x v="0"/>
    <x v="0"/>
    <x v="3"/>
    <x v="3"/>
    <x v="0"/>
    <x v="1"/>
  </r>
  <r>
    <x v="56"/>
    <x v="12"/>
    <x v="15"/>
    <n v="63.2"/>
    <n v="821.6"/>
    <x v="1"/>
    <d v="2025-01-03T00:00:00"/>
    <x v="2"/>
    <x v="0"/>
    <x v="0"/>
    <x v="0"/>
    <x v="3"/>
    <x v="3"/>
    <x v="0"/>
    <x v="2"/>
  </r>
  <r>
    <x v="57"/>
    <x v="10"/>
    <x v="11"/>
    <n v="33.299999999999997"/>
    <n v="299.7"/>
    <x v="2"/>
    <d v="2025-01-11T00:00:00"/>
    <x v="2"/>
    <x v="0"/>
    <x v="2"/>
    <x v="0"/>
    <x v="3"/>
    <x v="9"/>
    <x v="0"/>
    <x v="2"/>
  </r>
  <r>
    <x v="58"/>
    <x v="7"/>
    <x v="1"/>
    <n v="64.2"/>
    <n v="128.4"/>
    <x v="2"/>
    <d v="2025-01-04T00:00:00"/>
    <x v="1"/>
    <x v="0"/>
    <x v="2"/>
    <x v="0"/>
    <x v="3"/>
    <x v="3"/>
    <x v="0"/>
    <x v="1"/>
  </r>
  <r>
    <x v="59"/>
    <x v="9"/>
    <x v="2"/>
    <n v="23.1"/>
    <n v="69.300000000000011"/>
    <x v="2"/>
    <d v="2025-01-06T00:00:00"/>
    <x v="2"/>
    <x v="1"/>
    <x v="2"/>
    <x v="0"/>
    <x v="3"/>
    <x v="2"/>
    <x v="0"/>
    <x v="2"/>
  </r>
  <r>
    <x v="60"/>
    <x v="15"/>
    <x v="1"/>
    <n v="71.099999999999994"/>
    <n v="142.19999999999999"/>
    <x v="2"/>
    <d v="2025-01-05T00:00:00"/>
    <x v="2"/>
    <x v="3"/>
    <x v="1"/>
    <x v="0"/>
    <x v="3"/>
    <x v="1"/>
    <x v="0"/>
    <x v="2"/>
  </r>
  <r>
    <x v="61"/>
    <x v="0"/>
    <x v="1"/>
    <n v="11.5"/>
    <n v="23"/>
    <x v="2"/>
    <d v="2025-01-04T00:00:00"/>
    <x v="2"/>
    <x v="0"/>
    <x v="0"/>
    <x v="0"/>
    <x v="3"/>
    <x v="3"/>
    <x v="0"/>
    <x v="2"/>
  </r>
  <r>
    <x v="62"/>
    <x v="15"/>
    <x v="10"/>
    <n v="69.2"/>
    <n v="1314.8"/>
    <x v="2"/>
    <d v="2025-01-08T00:00:00"/>
    <x v="2"/>
    <x v="0"/>
    <x v="0"/>
    <x v="0"/>
    <x v="3"/>
    <x v="0"/>
    <x v="0"/>
    <x v="2"/>
  </r>
  <r>
    <x v="63"/>
    <x v="0"/>
    <x v="0"/>
    <n v="26.8"/>
    <n v="26.8"/>
    <x v="2"/>
    <d v="2025-01-04T00:00:00"/>
    <x v="1"/>
    <x v="2"/>
    <x v="4"/>
    <x v="0"/>
    <x v="3"/>
    <x v="3"/>
    <x v="0"/>
    <x v="1"/>
  </r>
  <r>
    <x v="64"/>
    <x v="16"/>
    <x v="2"/>
    <n v="31.2"/>
    <n v="93.6"/>
    <x v="2"/>
    <d v="2025-01-06T00:00:00"/>
    <x v="2"/>
    <x v="0"/>
    <x v="0"/>
    <x v="0"/>
    <x v="3"/>
    <x v="2"/>
    <x v="0"/>
    <x v="2"/>
  </r>
  <r>
    <x v="65"/>
    <x v="12"/>
    <x v="1"/>
    <n v="113.2"/>
    <n v="226.4"/>
    <x v="2"/>
    <d v="2025-01-04T00:00:00"/>
    <x v="2"/>
    <x v="4"/>
    <x v="0"/>
    <x v="0"/>
    <x v="3"/>
    <x v="3"/>
    <x v="0"/>
    <x v="2"/>
  </r>
  <r>
    <x v="66"/>
    <x v="10"/>
    <x v="8"/>
    <n v="21"/>
    <n v="168"/>
    <x v="2"/>
    <d v="2025-01-04T00:00:00"/>
    <x v="1"/>
    <x v="0"/>
    <x v="0"/>
    <x v="0"/>
    <x v="6"/>
    <x v="3"/>
    <x v="0"/>
    <x v="1"/>
  </r>
  <r>
    <x v="67"/>
    <x v="1"/>
    <x v="1"/>
    <n v="89.1"/>
    <n v="178.2"/>
    <x v="2"/>
    <d v="2025-01-04T00:00:00"/>
    <x v="2"/>
    <x v="2"/>
    <x v="2"/>
    <x v="0"/>
    <x v="6"/>
    <x v="3"/>
    <x v="0"/>
    <x v="2"/>
  </r>
  <r>
    <x v="68"/>
    <x v="1"/>
    <x v="0"/>
    <n v="97.7"/>
    <n v="97.7"/>
    <x v="2"/>
    <d v="2025-01-05T00:00:00"/>
    <x v="2"/>
    <x v="0"/>
    <x v="1"/>
    <x v="0"/>
    <x v="6"/>
    <x v="1"/>
    <x v="0"/>
    <x v="2"/>
  </r>
  <r>
    <x v="69"/>
    <x v="15"/>
    <x v="12"/>
    <n v="97.7"/>
    <n v="390.8"/>
    <x v="2"/>
    <d v="2025-01-05T00:00:00"/>
    <x v="1"/>
    <x v="3"/>
    <x v="0"/>
    <x v="0"/>
    <x v="6"/>
    <x v="1"/>
    <x v="0"/>
    <x v="1"/>
  </r>
  <r>
    <x v="70"/>
    <x v="17"/>
    <x v="2"/>
    <n v="47.4"/>
    <n v="142.19999999999999"/>
    <x v="2"/>
    <d v="2025-01-06T00:00:00"/>
    <x v="1"/>
    <x v="3"/>
    <x v="2"/>
    <x v="0"/>
    <x v="8"/>
    <x v="2"/>
    <x v="0"/>
    <x v="1"/>
  </r>
  <r>
    <x v="71"/>
    <x v="7"/>
    <x v="0"/>
    <n v="89.6"/>
    <n v="89.6"/>
    <x v="2"/>
    <d v="2025-01-06T00:00:00"/>
    <x v="2"/>
    <x v="0"/>
    <x v="2"/>
    <x v="0"/>
    <x v="8"/>
    <x v="2"/>
    <x v="0"/>
    <x v="2"/>
  </r>
  <r>
    <x v="72"/>
    <x v="10"/>
    <x v="16"/>
    <n v="28.4"/>
    <n v="511.2"/>
    <x v="2"/>
    <d v="2025-01-06T00:00:00"/>
    <x v="2"/>
    <x v="3"/>
    <x v="2"/>
    <x v="0"/>
    <x v="17"/>
    <x v="2"/>
    <x v="0"/>
    <x v="2"/>
  </r>
  <r>
    <x v="73"/>
    <x v="0"/>
    <x v="1"/>
    <n v="17.899999999999999"/>
    <n v="35.799999999999997"/>
    <x v="2"/>
    <d v="2025-01-04T00:00:00"/>
    <x v="2"/>
    <x v="0"/>
    <x v="2"/>
    <x v="0"/>
    <x v="9"/>
    <x v="3"/>
    <x v="0"/>
    <x v="2"/>
  </r>
  <r>
    <x v="74"/>
    <x v="9"/>
    <x v="1"/>
    <n v="48.4"/>
    <n v="96.8"/>
    <x v="2"/>
    <d v="2025-01-06T00:00:00"/>
    <x v="1"/>
    <x v="1"/>
    <x v="0"/>
    <x v="0"/>
    <x v="9"/>
    <x v="2"/>
    <x v="0"/>
    <x v="1"/>
  </r>
  <r>
    <x v="75"/>
    <x v="12"/>
    <x v="12"/>
    <n v="44.4"/>
    <n v="177.6"/>
    <x v="2"/>
    <d v="2025-01-04T00:00:00"/>
    <x v="3"/>
    <x v="1"/>
    <x v="1"/>
    <x v="0"/>
    <x v="11"/>
    <x v="3"/>
    <x v="0"/>
    <x v="3"/>
  </r>
  <r>
    <x v="76"/>
    <x v="2"/>
    <x v="8"/>
    <n v="103.7"/>
    <n v="829.6"/>
    <x v="2"/>
    <d v="2025-01-04T00:00:00"/>
    <x v="2"/>
    <x v="0"/>
    <x v="1"/>
    <x v="0"/>
    <x v="19"/>
    <x v="3"/>
    <x v="0"/>
    <x v="2"/>
  </r>
  <r>
    <x v="77"/>
    <x v="5"/>
    <x v="12"/>
    <n v="58.6"/>
    <n v="234.4"/>
    <x v="2"/>
    <d v="2025-01-05T00:00:00"/>
    <x v="1"/>
    <x v="3"/>
    <x v="0"/>
    <x v="0"/>
    <x v="19"/>
    <x v="1"/>
    <x v="0"/>
    <x v="1"/>
  </r>
  <r>
    <x v="78"/>
    <x v="9"/>
    <x v="12"/>
    <n v="54.8"/>
    <n v="219.2"/>
    <x v="2"/>
    <d v="2025-01-07T00:00:00"/>
    <x v="2"/>
    <x v="2"/>
    <x v="1"/>
    <x v="0"/>
    <x v="13"/>
    <x v="5"/>
    <x v="0"/>
    <x v="2"/>
  </r>
  <r>
    <x v="79"/>
    <x v="12"/>
    <x v="2"/>
    <n v="78.8"/>
    <n v="236.39999999999998"/>
    <x v="2"/>
    <d v="2025-01-09T00:00:00"/>
    <x v="2"/>
    <x v="4"/>
    <x v="1"/>
    <x v="0"/>
    <x v="21"/>
    <x v="4"/>
    <x v="0"/>
    <x v="2"/>
  </r>
  <r>
    <x v="80"/>
    <x v="18"/>
    <x v="9"/>
    <n v="36.799999999999997"/>
    <n v="184"/>
    <x v="2"/>
    <d v="2025-01-06T00:00:00"/>
    <x v="1"/>
    <x v="4"/>
    <x v="1"/>
    <x v="0"/>
    <x v="22"/>
    <x v="2"/>
    <x v="0"/>
    <x v="1"/>
  </r>
  <r>
    <x v="81"/>
    <x v="6"/>
    <x v="13"/>
    <n v="50.6"/>
    <n v="303.60000000000002"/>
    <x v="2"/>
    <d v="2025-01-05T00:00:00"/>
    <x v="2"/>
    <x v="3"/>
    <x v="0"/>
    <x v="0"/>
    <x v="3"/>
    <x v="1"/>
    <x v="0"/>
    <x v="2"/>
  </r>
  <r>
    <x v="82"/>
    <x v="15"/>
    <x v="2"/>
    <n v="36.799999999999997"/>
    <n v="110.39999999999999"/>
    <x v="2"/>
    <d v="2025-01-03T00:00:00"/>
    <x v="1"/>
    <x v="2"/>
    <x v="1"/>
    <x v="0"/>
    <x v="3"/>
    <x v="7"/>
    <x v="0"/>
    <x v="1"/>
  </r>
  <r>
    <x v="83"/>
    <x v="8"/>
    <x v="11"/>
    <n v="41.8"/>
    <n v="376.2"/>
    <x v="3"/>
    <d v="2025-01-10T00:00:00"/>
    <x v="2"/>
    <x v="3"/>
    <x v="0"/>
    <x v="0"/>
    <x v="3"/>
    <x v="4"/>
    <x v="0"/>
    <x v="2"/>
  </r>
  <r>
    <x v="84"/>
    <x v="18"/>
    <x v="0"/>
    <n v="77.3"/>
    <n v="77.3"/>
    <x v="3"/>
    <d v="2025-01-05T00:00:00"/>
    <x v="1"/>
    <x v="4"/>
    <x v="4"/>
    <x v="0"/>
    <x v="3"/>
    <x v="3"/>
    <x v="0"/>
    <x v="1"/>
  </r>
  <r>
    <x v="85"/>
    <x v="8"/>
    <x v="12"/>
    <n v="19.8"/>
    <n v="79.2"/>
    <x v="3"/>
    <d v="2025-01-10T00:00:00"/>
    <x v="1"/>
    <x v="1"/>
    <x v="2"/>
    <x v="0"/>
    <x v="3"/>
    <x v="4"/>
    <x v="0"/>
    <x v="1"/>
  </r>
  <r>
    <x v="86"/>
    <x v="13"/>
    <x v="12"/>
    <n v="15.5"/>
    <n v="62"/>
    <x v="3"/>
    <d v="2025-01-05T00:00:00"/>
    <x v="2"/>
    <x v="1"/>
    <x v="2"/>
    <x v="0"/>
    <x v="3"/>
    <x v="3"/>
    <x v="0"/>
    <x v="2"/>
  </r>
  <r>
    <x v="87"/>
    <x v="12"/>
    <x v="0"/>
    <n v="46.8"/>
    <n v="46.8"/>
    <x v="3"/>
    <d v="2025-01-08T00:00:00"/>
    <x v="1"/>
    <x v="0"/>
    <x v="2"/>
    <x v="0"/>
    <x v="3"/>
    <x v="5"/>
    <x v="0"/>
    <x v="1"/>
  </r>
  <r>
    <x v="88"/>
    <x v="9"/>
    <x v="11"/>
    <n v="28.6"/>
    <n v="257.40000000000003"/>
    <x v="3"/>
    <d v="2025-01-08T00:00:00"/>
    <x v="1"/>
    <x v="0"/>
    <x v="2"/>
    <x v="0"/>
    <x v="3"/>
    <x v="5"/>
    <x v="0"/>
    <x v="1"/>
  </r>
  <r>
    <x v="89"/>
    <x v="2"/>
    <x v="0"/>
    <n v="97.7"/>
    <n v="97.7"/>
    <x v="3"/>
    <d v="2025-01-07T00:00:00"/>
    <x v="2"/>
    <x v="1"/>
    <x v="0"/>
    <x v="0"/>
    <x v="3"/>
    <x v="2"/>
    <x v="0"/>
    <x v="2"/>
  </r>
  <r>
    <x v="90"/>
    <x v="9"/>
    <x v="9"/>
    <n v="54.7"/>
    <n v="273.5"/>
    <x v="3"/>
    <d v="2025-01-07T00:00:00"/>
    <x v="0"/>
    <x v="0"/>
    <x v="2"/>
    <x v="0"/>
    <x v="23"/>
    <x v="2"/>
    <x v="0"/>
    <x v="0"/>
  </r>
  <r>
    <x v="91"/>
    <x v="2"/>
    <x v="13"/>
    <n v="130.5"/>
    <n v="783"/>
    <x v="3"/>
    <d v="2025-01-06T00:00:00"/>
    <x v="2"/>
    <x v="0"/>
    <x v="1"/>
    <x v="0"/>
    <x v="23"/>
    <x v="1"/>
    <x v="0"/>
    <x v="2"/>
  </r>
  <r>
    <x v="92"/>
    <x v="11"/>
    <x v="1"/>
    <n v="50.4"/>
    <n v="100.8"/>
    <x v="3"/>
    <d v="2025-01-06T00:00:00"/>
    <x v="1"/>
    <x v="2"/>
    <x v="2"/>
    <x v="0"/>
    <x v="6"/>
    <x v="1"/>
    <x v="0"/>
    <x v="1"/>
  </r>
  <r>
    <x v="93"/>
    <x v="6"/>
    <x v="15"/>
    <n v="61.5"/>
    <n v="799.5"/>
    <x v="3"/>
    <d v="2025-01-05T00:00:00"/>
    <x v="0"/>
    <x v="3"/>
    <x v="1"/>
    <x v="0"/>
    <x v="11"/>
    <x v="3"/>
    <x v="0"/>
    <x v="0"/>
  </r>
  <r>
    <x v="94"/>
    <x v="9"/>
    <x v="12"/>
    <n v="30.1"/>
    <n v="120.4"/>
    <x v="3"/>
    <d v="2025-01-05T00:00:00"/>
    <x v="2"/>
    <x v="0"/>
    <x v="2"/>
    <x v="0"/>
    <x v="21"/>
    <x v="3"/>
    <x v="0"/>
    <x v="2"/>
  </r>
  <r>
    <x v="95"/>
    <x v="2"/>
    <x v="9"/>
    <n v="74.8"/>
    <n v="374"/>
    <x v="3"/>
    <d v="2025-01-05T00:00:00"/>
    <x v="2"/>
    <x v="1"/>
    <x v="0"/>
    <x v="0"/>
    <x v="1"/>
    <x v="3"/>
    <x v="0"/>
    <x v="2"/>
  </r>
  <r>
    <x v="96"/>
    <x v="16"/>
    <x v="2"/>
    <n v="64.900000000000006"/>
    <n v="194.70000000000002"/>
    <x v="3"/>
    <d v="2025-01-11T00:00:00"/>
    <x v="1"/>
    <x v="0"/>
    <x v="0"/>
    <x v="0"/>
    <x v="2"/>
    <x v="6"/>
    <x v="0"/>
    <x v="1"/>
  </r>
  <r>
    <x v="97"/>
    <x v="9"/>
    <x v="1"/>
    <n v="50.5"/>
    <n v="101"/>
    <x v="3"/>
    <d v="2025-01-06T00:00:00"/>
    <x v="1"/>
    <x v="1"/>
    <x v="0"/>
    <x v="0"/>
    <x v="22"/>
    <x v="1"/>
    <x v="0"/>
    <x v="1"/>
  </r>
  <r>
    <x v="98"/>
    <x v="11"/>
    <x v="3"/>
    <n v="63"/>
    <n v="441"/>
    <x v="3"/>
    <d v="2025-01-07T00:00:00"/>
    <x v="1"/>
    <x v="3"/>
    <x v="2"/>
    <x v="0"/>
    <x v="3"/>
    <x v="2"/>
    <x v="0"/>
    <x v="1"/>
  </r>
  <r>
    <x v="99"/>
    <x v="2"/>
    <x v="2"/>
    <n v="93.6"/>
    <n v="280.79999999999995"/>
    <x v="3"/>
    <d v="2025-01-17T00:00:00"/>
    <x v="2"/>
    <x v="0"/>
    <x v="2"/>
    <x v="0"/>
    <x v="3"/>
    <x v="10"/>
    <x v="0"/>
    <x v="2"/>
  </r>
  <r>
    <x v="100"/>
    <x v="5"/>
    <x v="17"/>
    <n v="41.4"/>
    <n v="1242"/>
    <x v="3"/>
    <d v="2025-01-08T00:00:00"/>
    <x v="1"/>
    <x v="2"/>
    <x v="2"/>
    <x v="0"/>
    <x v="3"/>
    <x v="5"/>
    <x v="0"/>
    <x v="1"/>
  </r>
  <r>
    <x v="101"/>
    <x v="2"/>
    <x v="1"/>
    <n v="160"/>
    <n v="320"/>
    <x v="4"/>
    <d v="2025-01-06T00:00:00"/>
    <x v="1"/>
    <x v="2"/>
    <x v="2"/>
    <x v="0"/>
    <x v="5"/>
    <x v="3"/>
    <x v="1"/>
    <x v="1"/>
  </r>
  <r>
    <x v="102"/>
    <x v="19"/>
    <x v="5"/>
    <n v="10.5"/>
    <n v="115.5"/>
    <x v="4"/>
    <d v="2025-01-08T00:00:00"/>
    <x v="2"/>
    <x v="4"/>
    <x v="0"/>
    <x v="0"/>
    <x v="8"/>
    <x v="2"/>
    <x v="1"/>
    <x v="2"/>
  </r>
  <r>
    <x v="103"/>
    <x v="10"/>
    <x v="1"/>
    <n v="53"/>
    <n v="106"/>
    <x v="4"/>
    <d v="2025-01-05T00:00:00"/>
    <x v="1"/>
    <x v="2"/>
    <x v="4"/>
    <x v="0"/>
    <x v="17"/>
    <x v="7"/>
    <x v="1"/>
    <x v="1"/>
  </r>
  <r>
    <x v="104"/>
    <x v="8"/>
    <x v="2"/>
    <n v="18.5"/>
    <n v="55.5"/>
    <x v="4"/>
    <d v="2025-01-10T00:00:00"/>
    <x v="2"/>
    <x v="1"/>
    <x v="2"/>
    <x v="0"/>
    <x v="11"/>
    <x v="0"/>
    <x v="1"/>
    <x v="2"/>
  </r>
  <r>
    <x v="105"/>
    <x v="16"/>
    <x v="2"/>
    <n v="84.5"/>
    <n v="253.5"/>
    <x v="4"/>
    <d v="2025-01-07T00:00:00"/>
    <x v="2"/>
    <x v="4"/>
    <x v="1"/>
    <x v="0"/>
    <x v="13"/>
    <x v="1"/>
    <x v="1"/>
    <x v="2"/>
  </r>
  <r>
    <x v="106"/>
    <x v="15"/>
    <x v="3"/>
    <n v="31.2"/>
    <n v="218.4"/>
    <x v="4"/>
    <d v="2025-01-05T00:00:00"/>
    <x v="2"/>
    <x v="2"/>
    <x v="2"/>
    <x v="0"/>
    <x v="3"/>
    <x v="7"/>
    <x v="1"/>
    <x v="2"/>
  </r>
  <r>
    <x v="107"/>
    <x v="8"/>
    <x v="16"/>
    <n v="32.6"/>
    <n v="586.80000000000007"/>
    <x v="4"/>
    <d v="2025-01-06T00:00:00"/>
    <x v="1"/>
    <x v="1"/>
    <x v="1"/>
    <x v="0"/>
    <x v="3"/>
    <x v="3"/>
    <x v="1"/>
    <x v="1"/>
  </r>
  <r>
    <x v="108"/>
    <x v="10"/>
    <x v="12"/>
    <n v="45.4"/>
    <n v="181.6"/>
    <x v="4"/>
    <d v="2025-01-07T00:00:00"/>
    <x v="1"/>
    <x v="1"/>
    <x v="0"/>
    <x v="0"/>
    <x v="3"/>
    <x v="1"/>
    <x v="1"/>
    <x v="1"/>
  </r>
  <r>
    <x v="109"/>
    <x v="2"/>
    <x v="4"/>
    <n v="120"/>
    <n v="1440"/>
    <x v="4"/>
    <d v="2025-01-06T00:00:00"/>
    <x v="2"/>
    <x v="2"/>
    <x v="4"/>
    <x v="0"/>
    <x v="3"/>
    <x v="3"/>
    <x v="1"/>
    <x v="2"/>
  </r>
  <r>
    <x v="110"/>
    <x v="0"/>
    <x v="12"/>
    <n v="18.899999999999999"/>
    <n v="75.599999999999994"/>
    <x v="4"/>
    <d v="2025-01-07T00:00:00"/>
    <x v="1"/>
    <x v="0"/>
    <x v="2"/>
    <x v="0"/>
    <x v="3"/>
    <x v="1"/>
    <x v="1"/>
    <x v="1"/>
  </r>
  <r>
    <x v="111"/>
    <x v="4"/>
    <x v="0"/>
    <n v="32"/>
    <n v="32"/>
    <x v="4"/>
    <d v="2025-01-07T00:00:00"/>
    <x v="2"/>
    <x v="4"/>
    <x v="0"/>
    <x v="0"/>
    <x v="3"/>
    <x v="1"/>
    <x v="1"/>
    <x v="2"/>
  </r>
  <r>
    <x v="112"/>
    <x v="7"/>
    <x v="1"/>
    <n v="37.299999999999997"/>
    <n v="74.599999999999994"/>
    <x v="4"/>
    <d v="2025-01-06T00:00:00"/>
    <x v="1"/>
    <x v="2"/>
    <x v="0"/>
    <x v="0"/>
    <x v="3"/>
    <x v="3"/>
    <x v="1"/>
    <x v="1"/>
  </r>
  <r>
    <x v="113"/>
    <x v="18"/>
    <x v="0"/>
    <n v="119.8"/>
    <n v="119.8"/>
    <x v="4"/>
    <d v="2025-01-06T00:00:00"/>
    <x v="1"/>
    <x v="1"/>
    <x v="1"/>
    <x v="0"/>
    <x v="3"/>
    <x v="3"/>
    <x v="1"/>
    <x v="1"/>
  </r>
  <r>
    <x v="114"/>
    <x v="10"/>
    <x v="1"/>
    <n v="26.4"/>
    <n v="52.8"/>
    <x v="4"/>
    <d v="2025-01-08T00:00:00"/>
    <x v="1"/>
    <x v="2"/>
    <x v="0"/>
    <x v="0"/>
    <x v="3"/>
    <x v="2"/>
    <x v="1"/>
    <x v="1"/>
  </r>
  <r>
    <x v="115"/>
    <x v="6"/>
    <x v="13"/>
    <n v="76.5"/>
    <n v="459"/>
    <x v="4"/>
    <d v="2025-01-06T00:00:00"/>
    <x v="2"/>
    <x v="1"/>
    <x v="1"/>
    <x v="0"/>
    <x v="3"/>
    <x v="3"/>
    <x v="1"/>
    <x v="2"/>
  </r>
  <r>
    <x v="116"/>
    <x v="4"/>
    <x v="7"/>
    <n v="45.7"/>
    <n v="457"/>
    <x v="4"/>
    <d v="2025-01-06T00:00:00"/>
    <x v="2"/>
    <x v="2"/>
    <x v="0"/>
    <x v="0"/>
    <x v="24"/>
    <x v="3"/>
    <x v="1"/>
    <x v="2"/>
  </r>
  <r>
    <x v="117"/>
    <x v="1"/>
    <x v="4"/>
    <n v="92.6"/>
    <n v="1111.1999999999998"/>
    <x v="4"/>
    <d v="2025-01-07T00:00:00"/>
    <x v="2"/>
    <x v="2"/>
    <x v="0"/>
    <x v="0"/>
    <x v="25"/>
    <x v="1"/>
    <x v="1"/>
    <x v="2"/>
  </r>
  <r>
    <x v="118"/>
    <x v="6"/>
    <x v="13"/>
    <n v="60.1"/>
    <n v="360.6"/>
    <x v="4"/>
    <d v="2025-01-06T00:00:00"/>
    <x v="1"/>
    <x v="1"/>
    <x v="0"/>
    <x v="0"/>
    <x v="23"/>
    <x v="3"/>
    <x v="1"/>
    <x v="1"/>
  </r>
  <r>
    <x v="119"/>
    <x v="1"/>
    <x v="2"/>
    <n v="73"/>
    <n v="219"/>
    <x v="4"/>
    <d v="2025-01-06T00:00:00"/>
    <x v="2"/>
    <x v="3"/>
    <x v="1"/>
    <x v="0"/>
    <x v="6"/>
    <x v="3"/>
    <x v="1"/>
    <x v="2"/>
  </r>
  <r>
    <x v="120"/>
    <x v="6"/>
    <x v="2"/>
    <n v="44.3"/>
    <n v="132.89999999999998"/>
    <x v="4"/>
    <d v="2025-01-09T00:00:00"/>
    <x v="0"/>
    <x v="2"/>
    <x v="2"/>
    <x v="0"/>
    <x v="6"/>
    <x v="5"/>
    <x v="1"/>
    <x v="0"/>
  </r>
  <r>
    <x v="121"/>
    <x v="6"/>
    <x v="2"/>
    <n v="63.3"/>
    <n v="189.89999999999998"/>
    <x v="4"/>
    <d v="2025-01-06T00:00:00"/>
    <x v="1"/>
    <x v="2"/>
    <x v="0"/>
    <x v="0"/>
    <x v="6"/>
    <x v="3"/>
    <x v="1"/>
    <x v="1"/>
  </r>
  <r>
    <x v="122"/>
    <x v="12"/>
    <x v="0"/>
    <n v="66.8"/>
    <n v="66.8"/>
    <x v="4"/>
    <d v="2025-01-06T00:00:00"/>
    <x v="2"/>
    <x v="1"/>
    <x v="0"/>
    <x v="0"/>
    <x v="6"/>
    <x v="3"/>
    <x v="1"/>
    <x v="2"/>
  </r>
  <r>
    <x v="123"/>
    <x v="2"/>
    <x v="1"/>
    <n v="59.7"/>
    <n v="119.4"/>
    <x v="4"/>
    <d v="2025-01-06T00:00:00"/>
    <x v="2"/>
    <x v="0"/>
    <x v="0"/>
    <x v="0"/>
    <x v="7"/>
    <x v="3"/>
    <x v="1"/>
    <x v="2"/>
  </r>
  <r>
    <x v="124"/>
    <x v="1"/>
    <x v="13"/>
    <n v="92"/>
    <n v="552"/>
    <x v="4"/>
    <d v="2025-01-07T00:00:00"/>
    <x v="1"/>
    <x v="0"/>
    <x v="4"/>
    <x v="0"/>
    <x v="7"/>
    <x v="1"/>
    <x v="1"/>
    <x v="1"/>
  </r>
  <r>
    <x v="125"/>
    <x v="7"/>
    <x v="1"/>
    <n v="87.6"/>
    <n v="175.2"/>
    <x v="4"/>
    <d v="2025-01-07T00:00:00"/>
    <x v="1"/>
    <x v="1"/>
    <x v="1"/>
    <x v="0"/>
    <x v="8"/>
    <x v="1"/>
    <x v="1"/>
    <x v="1"/>
  </r>
  <r>
    <x v="126"/>
    <x v="6"/>
    <x v="2"/>
    <n v="84.5"/>
    <n v="253.5"/>
    <x v="4"/>
    <d v="2025-01-06T00:00:00"/>
    <x v="2"/>
    <x v="1"/>
    <x v="1"/>
    <x v="0"/>
    <x v="8"/>
    <x v="3"/>
    <x v="1"/>
    <x v="2"/>
  </r>
  <r>
    <x v="127"/>
    <x v="1"/>
    <x v="1"/>
    <n v="116.3"/>
    <n v="232.6"/>
    <x v="5"/>
    <d v="2025-01-08T00:00:00"/>
    <x v="1"/>
    <x v="2"/>
    <x v="2"/>
    <x v="0"/>
    <x v="8"/>
    <x v="1"/>
    <x v="1"/>
    <x v="1"/>
  </r>
  <r>
    <x v="128"/>
    <x v="6"/>
    <x v="9"/>
    <n v="52.7"/>
    <n v="263.5"/>
    <x v="5"/>
    <d v="2025-01-10T00:00:00"/>
    <x v="1"/>
    <x v="0"/>
    <x v="0"/>
    <x v="0"/>
    <x v="8"/>
    <x v="5"/>
    <x v="1"/>
    <x v="1"/>
  </r>
  <r>
    <x v="129"/>
    <x v="16"/>
    <x v="2"/>
    <n v="34.200000000000003"/>
    <n v="102.60000000000001"/>
    <x v="5"/>
    <d v="2025-01-07T00:00:00"/>
    <x v="1"/>
    <x v="0"/>
    <x v="2"/>
    <x v="0"/>
    <x v="26"/>
    <x v="3"/>
    <x v="1"/>
    <x v="1"/>
  </r>
  <r>
    <x v="130"/>
    <x v="9"/>
    <x v="0"/>
    <n v="23.3"/>
    <n v="23.3"/>
    <x v="5"/>
    <d v="2025-01-15T00:00:00"/>
    <x v="3"/>
    <x v="2"/>
    <x v="2"/>
    <x v="0"/>
    <x v="9"/>
    <x v="8"/>
    <x v="1"/>
    <x v="3"/>
  </r>
  <r>
    <x v="131"/>
    <x v="0"/>
    <x v="18"/>
    <n v="25.9"/>
    <n v="673.4"/>
    <x v="5"/>
    <d v="2025-01-09T00:00:00"/>
    <x v="2"/>
    <x v="4"/>
    <x v="1"/>
    <x v="0"/>
    <x v="9"/>
    <x v="2"/>
    <x v="1"/>
    <x v="2"/>
  </r>
  <r>
    <x v="132"/>
    <x v="6"/>
    <x v="19"/>
    <n v="54.9"/>
    <n v="1592.1"/>
    <x v="5"/>
    <d v="2025-01-07T00:00:00"/>
    <x v="1"/>
    <x v="1"/>
    <x v="2"/>
    <x v="0"/>
    <x v="9"/>
    <x v="3"/>
    <x v="1"/>
    <x v="1"/>
  </r>
  <r>
    <x v="133"/>
    <x v="5"/>
    <x v="2"/>
    <n v="75.8"/>
    <n v="227.39999999999998"/>
    <x v="5"/>
    <d v="2025-01-11T00:00:00"/>
    <x v="3"/>
    <x v="1"/>
    <x v="0"/>
    <x v="0"/>
    <x v="18"/>
    <x v="0"/>
    <x v="1"/>
    <x v="3"/>
  </r>
  <r>
    <x v="134"/>
    <x v="1"/>
    <x v="11"/>
    <n v="44.9"/>
    <n v="404.09999999999997"/>
    <x v="5"/>
    <d v="2025-01-09T00:00:00"/>
    <x v="2"/>
    <x v="2"/>
    <x v="2"/>
    <x v="0"/>
    <x v="2"/>
    <x v="2"/>
    <x v="1"/>
    <x v="2"/>
  </r>
  <r>
    <x v="135"/>
    <x v="11"/>
    <x v="1"/>
    <n v="48.8"/>
    <n v="97.6"/>
    <x v="5"/>
    <d v="2025-01-08T00:00:00"/>
    <x v="2"/>
    <x v="3"/>
    <x v="0"/>
    <x v="0"/>
    <x v="27"/>
    <x v="1"/>
    <x v="1"/>
    <x v="2"/>
  </r>
  <r>
    <x v="136"/>
    <x v="15"/>
    <x v="0"/>
    <n v="20.3"/>
    <n v="20.3"/>
    <x v="5"/>
    <d v="2025-01-07T00:00:00"/>
    <x v="2"/>
    <x v="0"/>
    <x v="2"/>
    <x v="0"/>
    <x v="22"/>
    <x v="3"/>
    <x v="1"/>
    <x v="2"/>
  </r>
  <r>
    <x v="137"/>
    <x v="5"/>
    <x v="3"/>
    <n v="36.4"/>
    <n v="254.79999999999998"/>
    <x v="5"/>
    <d v="2025-01-09T00:00:00"/>
    <x v="2"/>
    <x v="0"/>
    <x v="1"/>
    <x v="0"/>
    <x v="3"/>
    <x v="2"/>
    <x v="1"/>
    <x v="2"/>
  </r>
  <r>
    <x v="138"/>
    <x v="0"/>
    <x v="0"/>
    <n v="19"/>
    <n v="19"/>
    <x v="5"/>
    <d v="2025-01-11T00:00:00"/>
    <x v="2"/>
    <x v="1"/>
    <x v="2"/>
    <x v="0"/>
    <x v="3"/>
    <x v="0"/>
    <x v="1"/>
    <x v="2"/>
  </r>
  <r>
    <x v="139"/>
    <x v="8"/>
    <x v="0"/>
    <n v="17.8"/>
    <n v="17.8"/>
    <x v="5"/>
    <d v="2025-01-06T00:00:00"/>
    <x v="1"/>
    <x v="0"/>
    <x v="0"/>
    <x v="0"/>
    <x v="3"/>
    <x v="7"/>
    <x v="1"/>
    <x v="1"/>
  </r>
  <r>
    <x v="140"/>
    <x v="2"/>
    <x v="13"/>
    <n v="139.6"/>
    <n v="837.59999999999991"/>
    <x v="5"/>
    <d v="2025-01-09T00:00:00"/>
    <x v="1"/>
    <x v="0"/>
    <x v="0"/>
    <x v="0"/>
    <x v="3"/>
    <x v="2"/>
    <x v="1"/>
    <x v="1"/>
  </r>
  <r>
    <x v="141"/>
    <x v="9"/>
    <x v="0"/>
    <n v="31.7"/>
    <n v="31.7"/>
    <x v="5"/>
    <d v="2025-01-06T00:00:00"/>
    <x v="0"/>
    <x v="0"/>
    <x v="0"/>
    <x v="0"/>
    <x v="3"/>
    <x v="7"/>
    <x v="1"/>
    <x v="0"/>
  </r>
  <r>
    <x v="142"/>
    <x v="8"/>
    <x v="8"/>
    <n v="26.3"/>
    <n v="210.4"/>
    <x v="5"/>
    <d v="2025-01-09T00:00:00"/>
    <x v="2"/>
    <x v="4"/>
    <x v="4"/>
    <x v="0"/>
    <x v="3"/>
    <x v="2"/>
    <x v="1"/>
    <x v="2"/>
  </r>
  <r>
    <x v="143"/>
    <x v="4"/>
    <x v="1"/>
    <n v="47.8"/>
    <n v="95.6"/>
    <x v="5"/>
    <d v="2025-01-07T00:00:00"/>
    <x v="0"/>
    <x v="0"/>
    <x v="0"/>
    <x v="0"/>
    <x v="3"/>
    <x v="3"/>
    <x v="1"/>
    <x v="0"/>
  </r>
  <r>
    <x v="144"/>
    <x v="9"/>
    <x v="2"/>
    <n v="69.400000000000006"/>
    <n v="208.20000000000002"/>
    <x v="5"/>
    <d v="2025-01-10T00:00:00"/>
    <x v="2"/>
    <x v="0"/>
    <x v="0"/>
    <x v="0"/>
    <x v="3"/>
    <x v="5"/>
    <x v="1"/>
    <x v="2"/>
  </r>
  <r>
    <x v="145"/>
    <x v="18"/>
    <x v="4"/>
    <n v="25.8"/>
    <n v="309.60000000000002"/>
    <x v="5"/>
    <d v="2025-01-07T00:00:00"/>
    <x v="1"/>
    <x v="4"/>
    <x v="4"/>
    <x v="0"/>
    <x v="3"/>
    <x v="3"/>
    <x v="1"/>
    <x v="1"/>
  </r>
  <r>
    <x v="146"/>
    <x v="0"/>
    <x v="12"/>
    <n v="26.4"/>
    <n v="105.6"/>
    <x v="5"/>
    <d v="2025-01-07T00:00:00"/>
    <x v="1"/>
    <x v="1"/>
    <x v="2"/>
    <x v="0"/>
    <x v="3"/>
    <x v="3"/>
    <x v="1"/>
    <x v="1"/>
  </r>
  <r>
    <x v="147"/>
    <x v="8"/>
    <x v="12"/>
    <n v="15.7"/>
    <n v="62.8"/>
    <x v="5"/>
    <d v="2025-01-07T00:00:00"/>
    <x v="1"/>
    <x v="2"/>
    <x v="0"/>
    <x v="0"/>
    <x v="3"/>
    <x v="3"/>
    <x v="1"/>
    <x v="1"/>
  </r>
  <r>
    <x v="148"/>
    <x v="8"/>
    <x v="0"/>
    <n v="39.700000000000003"/>
    <n v="39.700000000000003"/>
    <x v="5"/>
    <d v="2025-01-10T00:00:00"/>
    <x v="1"/>
    <x v="0"/>
    <x v="0"/>
    <x v="0"/>
    <x v="3"/>
    <x v="5"/>
    <x v="1"/>
    <x v="1"/>
  </r>
  <r>
    <x v="149"/>
    <x v="10"/>
    <x v="12"/>
    <n v="31.1"/>
    <n v="124.4"/>
    <x v="5"/>
    <d v="2025-01-08T00:00:00"/>
    <x v="2"/>
    <x v="2"/>
    <x v="1"/>
    <x v="0"/>
    <x v="3"/>
    <x v="1"/>
    <x v="1"/>
    <x v="2"/>
  </r>
  <r>
    <x v="150"/>
    <x v="13"/>
    <x v="20"/>
    <n v="23.4"/>
    <n v="351"/>
    <x v="5"/>
    <d v="2025-01-15T00:00:00"/>
    <x v="1"/>
    <x v="0"/>
    <x v="0"/>
    <x v="0"/>
    <x v="3"/>
    <x v="8"/>
    <x v="1"/>
    <x v="1"/>
  </r>
  <r>
    <x v="151"/>
    <x v="1"/>
    <x v="12"/>
    <n v="57.1"/>
    <n v="228.4"/>
    <x v="6"/>
    <d v="2025-01-08T00:00:00"/>
    <x v="1"/>
    <x v="2"/>
    <x v="0"/>
    <x v="0"/>
    <x v="25"/>
    <x v="3"/>
    <x v="1"/>
    <x v="1"/>
  </r>
  <r>
    <x v="152"/>
    <x v="2"/>
    <x v="9"/>
    <n v="89.9"/>
    <n v="449.5"/>
    <x v="6"/>
    <d v="2025-01-07T00:00:00"/>
    <x v="2"/>
    <x v="0"/>
    <x v="3"/>
    <x v="0"/>
    <x v="23"/>
    <x v="7"/>
    <x v="1"/>
    <x v="2"/>
  </r>
  <r>
    <x v="153"/>
    <x v="10"/>
    <x v="3"/>
    <n v="48.1"/>
    <n v="336.7"/>
    <x v="6"/>
    <d v="2025-01-09T00:00:00"/>
    <x v="2"/>
    <x v="1"/>
    <x v="2"/>
    <x v="0"/>
    <x v="6"/>
    <x v="1"/>
    <x v="1"/>
    <x v="2"/>
  </r>
  <r>
    <x v="154"/>
    <x v="8"/>
    <x v="1"/>
    <n v="29.3"/>
    <n v="58.6"/>
    <x v="6"/>
    <d v="2025-01-07T00:00:00"/>
    <x v="2"/>
    <x v="1"/>
    <x v="1"/>
    <x v="0"/>
    <x v="6"/>
    <x v="7"/>
    <x v="1"/>
    <x v="2"/>
  </r>
  <r>
    <x v="155"/>
    <x v="8"/>
    <x v="12"/>
    <n v="28.8"/>
    <n v="115.2"/>
    <x v="6"/>
    <d v="2025-01-08T00:00:00"/>
    <x v="2"/>
    <x v="0"/>
    <x v="4"/>
    <x v="0"/>
    <x v="6"/>
    <x v="3"/>
    <x v="1"/>
    <x v="2"/>
  </r>
  <r>
    <x v="156"/>
    <x v="10"/>
    <x v="9"/>
    <n v="40.5"/>
    <n v="202.5"/>
    <x v="6"/>
    <d v="2025-01-11T00:00:00"/>
    <x v="2"/>
    <x v="3"/>
    <x v="0"/>
    <x v="0"/>
    <x v="6"/>
    <x v="5"/>
    <x v="1"/>
    <x v="2"/>
  </r>
  <r>
    <x v="157"/>
    <x v="18"/>
    <x v="21"/>
    <n v="65.099999999999994"/>
    <n v="911.39999999999986"/>
    <x v="6"/>
    <d v="2025-01-08T00:00:00"/>
    <x v="2"/>
    <x v="4"/>
    <x v="0"/>
    <x v="0"/>
    <x v="7"/>
    <x v="3"/>
    <x v="1"/>
    <x v="2"/>
  </r>
  <r>
    <x v="158"/>
    <x v="8"/>
    <x v="12"/>
    <n v="40.299999999999997"/>
    <n v="161.19999999999999"/>
    <x v="6"/>
    <d v="2025-01-12T00:00:00"/>
    <x v="2"/>
    <x v="2"/>
    <x v="0"/>
    <x v="0"/>
    <x v="7"/>
    <x v="0"/>
    <x v="1"/>
    <x v="2"/>
  </r>
  <r>
    <x v="159"/>
    <x v="6"/>
    <x v="9"/>
    <n v="51.8"/>
    <n v="259"/>
    <x v="6"/>
    <d v="2025-01-08T00:00:00"/>
    <x v="1"/>
    <x v="2"/>
    <x v="2"/>
    <x v="0"/>
    <x v="8"/>
    <x v="3"/>
    <x v="1"/>
    <x v="1"/>
  </r>
  <r>
    <x v="160"/>
    <x v="6"/>
    <x v="2"/>
    <n v="61.3"/>
    <n v="183.89999999999998"/>
    <x v="6"/>
    <d v="2025-01-08T00:00:00"/>
    <x v="2"/>
    <x v="3"/>
    <x v="0"/>
    <x v="0"/>
    <x v="8"/>
    <x v="3"/>
    <x v="1"/>
    <x v="2"/>
  </r>
  <r>
    <x v="161"/>
    <x v="2"/>
    <x v="12"/>
    <n v="122.5"/>
    <n v="490"/>
    <x v="6"/>
    <d v="2025-01-08T00:00:00"/>
    <x v="1"/>
    <x v="0"/>
    <x v="0"/>
    <x v="0"/>
    <x v="8"/>
    <x v="3"/>
    <x v="1"/>
    <x v="1"/>
  </r>
  <r>
    <x v="162"/>
    <x v="0"/>
    <x v="11"/>
    <n v="12.5"/>
    <n v="112.5"/>
    <x v="6"/>
    <d v="2025-01-08T00:00:00"/>
    <x v="0"/>
    <x v="1"/>
    <x v="2"/>
    <x v="0"/>
    <x v="8"/>
    <x v="3"/>
    <x v="1"/>
    <x v="0"/>
  </r>
  <r>
    <x v="163"/>
    <x v="15"/>
    <x v="8"/>
    <n v="37.5"/>
    <n v="300"/>
    <x v="6"/>
    <d v="2025-01-08T00:00:00"/>
    <x v="2"/>
    <x v="0"/>
    <x v="0"/>
    <x v="0"/>
    <x v="9"/>
    <x v="3"/>
    <x v="1"/>
    <x v="2"/>
  </r>
  <r>
    <x v="164"/>
    <x v="6"/>
    <x v="2"/>
    <n v="40"/>
    <n v="120"/>
    <x v="6"/>
    <d v="2025-01-10T00:00:00"/>
    <x v="1"/>
    <x v="0"/>
    <x v="4"/>
    <x v="0"/>
    <x v="11"/>
    <x v="2"/>
    <x v="1"/>
    <x v="1"/>
  </r>
  <r>
    <x v="165"/>
    <x v="17"/>
    <x v="8"/>
    <n v="38.5"/>
    <n v="308"/>
    <x v="6"/>
    <d v="2025-01-12T00:00:00"/>
    <x v="2"/>
    <x v="2"/>
    <x v="1"/>
    <x v="0"/>
    <x v="11"/>
    <x v="0"/>
    <x v="1"/>
    <x v="2"/>
  </r>
  <r>
    <x v="166"/>
    <x v="2"/>
    <x v="1"/>
    <n v="86.4"/>
    <n v="172.8"/>
    <x v="6"/>
    <d v="2025-01-09T00:00:00"/>
    <x v="2"/>
    <x v="0"/>
    <x v="0"/>
    <x v="0"/>
    <x v="18"/>
    <x v="1"/>
    <x v="1"/>
    <x v="2"/>
  </r>
  <r>
    <x v="167"/>
    <x v="10"/>
    <x v="0"/>
    <n v="50.7"/>
    <n v="50.7"/>
    <x v="6"/>
    <d v="2025-01-11T00:00:00"/>
    <x v="2"/>
    <x v="1"/>
    <x v="0"/>
    <x v="0"/>
    <x v="18"/>
    <x v="5"/>
    <x v="1"/>
    <x v="2"/>
  </r>
  <r>
    <x v="168"/>
    <x v="10"/>
    <x v="1"/>
    <n v="61"/>
    <n v="122"/>
    <x v="6"/>
    <d v="2025-01-18T00:00:00"/>
    <x v="2"/>
    <x v="4"/>
    <x v="1"/>
    <x v="0"/>
    <x v="18"/>
    <x v="11"/>
    <x v="1"/>
    <x v="2"/>
  </r>
  <r>
    <x v="169"/>
    <x v="4"/>
    <x v="1"/>
    <n v="19.899999999999999"/>
    <n v="39.799999999999997"/>
    <x v="6"/>
    <d v="2025-01-10T00:00:00"/>
    <x v="2"/>
    <x v="1"/>
    <x v="0"/>
    <x v="0"/>
    <x v="28"/>
    <x v="2"/>
    <x v="1"/>
    <x v="2"/>
  </r>
  <r>
    <x v="170"/>
    <x v="5"/>
    <x v="0"/>
    <n v="78.3"/>
    <n v="78.3"/>
    <x v="6"/>
    <d v="2025-01-07T00:00:00"/>
    <x v="2"/>
    <x v="0"/>
    <x v="2"/>
    <x v="0"/>
    <x v="1"/>
    <x v="7"/>
    <x v="1"/>
    <x v="2"/>
  </r>
  <r>
    <x v="171"/>
    <x v="0"/>
    <x v="10"/>
    <n v="10.4"/>
    <n v="197.6"/>
    <x v="6"/>
    <d v="2025-01-09T00:00:00"/>
    <x v="1"/>
    <x v="0"/>
    <x v="2"/>
    <x v="0"/>
    <x v="2"/>
    <x v="1"/>
    <x v="1"/>
    <x v="1"/>
  </r>
  <r>
    <x v="172"/>
    <x v="10"/>
    <x v="0"/>
    <n v="36.1"/>
    <n v="36.1"/>
    <x v="6"/>
    <d v="2025-01-10T00:00:00"/>
    <x v="1"/>
    <x v="3"/>
    <x v="2"/>
    <x v="0"/>
    <x v="3"/>
    <x v="2"/>
    <x v="1"/>
    <x v="1"/>
  </r>
  <r>
    <x v="173"/>
    <x v="14"/>
    <x v="1"/>
    <n v="17.3"/>
    <n v="34.6"/>
    <x v="6"/>
    <d v="2025-01-09T00:00:00"/>
    <x v="2"/>
    <x v="1"/>
    <x v="2"/>
    <x v="0"/>
    <x v="3"/>
    <x v="1"/>
    <x v="1"/>
    <x v="2"/>
  </r>
  <r>
    <x v="174"/>
    <x v="10"/>
    <x v="1"/>
    <n v="30.5"/>
    <n v="61"/>
    <x v="6"/>
    <d v="2025-01-08T00:00:00"/>
    <x v="2"/>
    <x v="1"/>
    <x v="2"/>
    <x v="0"/>
    <x v="3"/>
    <x v="3"/>
    <x v="1"/>
    <x v="2"/>
  </r>
  <r>
    <x v="175"/>
    <x v="18"/>
    <x v="22"/>
    <n v="70.099999999999994"/>
    <n v="4346.2"/>
    <x v="6"/>
    <d v="2025-01-07T00:00:00"/>
    <x v="2"/>
    <x v="2"/>
    <x v="0"/>
    <x v="0"/>
    <x v="3"/>
    <x v="7"/>
    <x v="1"/>
    <x v="2"/>
  </r>
  <r>
    <x v="176"/>
    <x v="3"/>
    <x v="0"/>
    <n v="76.099999999999994"/>
    <n v="76.099999999999994"/>
    <x v="6"/>
    <d v="2025-01-07T00:00:00"/>
    <x v="2"/>
    <x v="2"/>
    <x v="1"/>
    <x v="0"/>
    <x v="3"/>
    <x v="7"/>
    <x v="1"/>
    <x v="2"/>
  </r>
  <r>
    <x v="177"/>
    <x v="15"/>
    <x v="15"/>
    <n v="34.200000000000003"/>
    <n v="444.6"/>
    <x v="6"/>
    <d v="2025-01-08T00:00:00"/>
    <x v="1"/>
    <x v="0"/>
    <x v="0"/>
    <x v="0"/>
    <x v="3"/>
    <x v="3"/>
    <x v="1"/>
    <x v="1"/>
  </r>
  <r>
    <x v="178"/>
    <x v="8"/>
    <x v="9"/>
    <n v="30.3"/>
    <n v="151.5"/>
    <x v="6"/>
    <d v="2025-01-12T00:00:00"/>
    <x v="2"/>
    <x v="4"/>
    <x v="0"/>
    <x v="0"/>
    <x v="3"/>
    <x v="0"/>
    <x v="1"/>
    <x v="2"/>
  </r>
  <r>
    <x v="179"/>
    <x v="6"/>
    <x v="9"/>
    <n v="52.5"/>
    <n v="262.5"/>
    <x v="6"/>
    <d v="2025-01-11T00:00:00"/>
    <x v="0"/>
    <x v="3"/>
    <x v="0"/>
    <x v="0"/>
    <x v="3"/>
    <x v="5"/>
    <x v="1"/>
    <x v="0"/>
  </r>
  <r>
    <x v="180"/>
    <x v="9"/>
    <x v="5"/>
    <n v="28.7"/>
    <n v="315.7"/>
    <x v="6"/>
    <d v="2025-01-08T00:00:00"/>
    <x v="2"/>
    <x v="2"/>
    <x v="0"/>
    <x v="0"/>
    <x v="3"/>
    <x v="3"/>
    <x v="1"/>
    <x v="2"/>
  </r>
  <r>
    <x v="181"/>
    <x v="7"/>
    <x v="3"/>
    <n v="52"/>
    <n v="364"/>
    <x v="6"/>
    <d v="2025-01-08T00:00:00"/>
    <x v="1"/>
    <x v="1"/>
    <x v="4"/>
    <x v="0"/>
    <x v="3"/>
    <x v="3"/>
    <x v="1"/>
    <x v="1"/>
  </r>
  <r>
    <x v="182"/>
    <x v="0"/>
    <x v="0"/>
    <n v="13.3"/>
    <n v="13.3"/>
    <x v="7"/>
    <d v="2025-01-12T00:00:00"/>
    <x v="2"/>
    <x v="2"/>
    <x v="1"/>
    <x v="0"/>
    <x v="3"/>
    <x v="5"/>
    <x v="1"/>
    <x v="2"/>
  </r>
  <r>
    <x v="183"/>
    <x v="0"/>
    <x v="2"/>
    <n v="15.7"/>
    <n v="47.099999999999994"/>
    <x v="7"/>
    <d v="2025-01-09T00:00:00"/>
    <x v="2"/>
    <x v="1"/>
    <x v="0"/>
    <x v="0"/>
    <x v="29"/>
    <x v="3"/>
    <x v="1"/>
    <x v="2"/>
  </r>
  <r>
    <x v="184"/>
    <x v="8"/>
    <x v="1"/>
    <n v="25.6"/>
    <n v="51.2"/>
    <x v="7"/>
    <d v="2025-01-09T00:00:00"/>
    <x v="1"/>
    <x v="0"/>
    <x v="2"/>
    <x v="0"/>
    <x v="23"/>
    <x v="3"/>
    <x v="1"/>
    <x v="1"/>
  </r>
  <r>
    <x v="185"/>
    <x v="8"/>
    <x v="0"/>
    <n v="43.4"/>
    <n v="43.4"/>
    <x v="7"/>
    <d v="2025-01-13T00:00:00"/>
    <x v="1"/>
    <x v="0"/>
    <x v="0"/>
    <x v="0"/>
    <x v="6"/>
    <x v="0"/>
    <x v="1"/>
    <x v="1"/>
  </r>
  <r>
    <x v="186"/>
    <x v="11"/>
    <x v="11"/>
    <n v="33.4"/>
    <n v="300.59999999999997"/>
    <x v="7"/>
    <d v="2025-01-08T00:00:00"/>
    <x v="2"/>
    <x v="0"/>
    <x v="0"/>
    <x v="0"/>
    <x v="8"/>
    <x v="7"/>
    <x v="1"/>
    <x v="2"/>
  </r>
  <r>
    <x v="187"/>
    <x v="8"/>
    <x v="10"/>
    <n v="55"/>
    <n v="1045"/>
    <x v="7"/>
    <d v="2025-01-09T00:00:00"/>
    <x v="2"/>
    <x v="1"/>
    <x v="2"/>
    <x v="0"/>
    <x v="8"/>
    <x v="3"/>
    <x v="1"/>
    <x v="2"/>
  </r>
  <r>
    <x v="188"/>
    <x v="8"/>
    <x v="2"/>
    <n v="23.6"/>
    <n v="70.800000000000011"/>
    <x v="7"/>
    <d v="2025-01-09T00:00:00"/>
    <x v="1"/>
    <x v="0"/>
    <x v="2"/>
    <x v="0"/>
    <x v="8"/>
    <x v="3"/>
    <x v="1"/>
    <x v="1"/>
  </r>
  <r>
    <x v="189"/>
    <x v="12"/>
    <x v="11"/>
    <n v="104"/>
    <n v="936"/>
    <x v="7"/>
    <d v="2025-01-10T00:00:00"/>
    <x v="2"/>
    <x v="2"/>
    <x v="2"/>
    <x v="0"/>
    <x v="17"/>
    <x v="1"/>
    <x v="1"/>
    <x v="2"/>
  </r>
  <r>
    <x v="190"/>
    <x v="6"/>
    <x v="1"/>
    <n v="51.8"/>
    <n v="103.6"/>
    <x v="7"/>
    <d v="2025-01-12T00:00:00"/>
    <x v="0"/>
    <x v="0"/>
    <x v="2"/>
    <x v="0"/>
    <x v="10"/>
    <x v="5"/>
    <x v="1"/>
    <x v="0"/>
  </r>
  <r>
    <x v="191"/>
    <x v="10"/>
    <x v="9"/>
    <n v="34.5"/>
    <n v="172.5"/>
    <x v="7"/>
    <d v="2025-01-10T00:00:00"/>
    <x v="0"/>
    <x v="2"/>
    <x v="2"/>
    <x v="0"/>
    <x v="11"/>
    <x v="1"/>
    <x v="1"/>
    <x v="0"/>
  </r>
  <r>
    <x v="192"/>
    <x v="6"/>
    <x v="1"/>
    <n v="51.8"/>
    <n v="103.6"/>
    <x v="7"/>
    <d v="2025-01-10T00:00:00"/>
    <x v="1"/>
    <x v="1"/>
    <x v="2"/>
    <x v="0"/>
    <x v="30"/>
    <x v="1"/>
    <x v="1"/>
    <x v="1"/>
  </r>
  <r>
    <x v="193"/>
    <x v="18"/>
    <x v="23"/>
    <n v="131.5"/>
    <n v="5654.5"/>
    <x v="7"/>
    <d v="2025-01-09T00:00:00"/>
    <x v="2"/>
    <x v="0"/>
    <x v="2"/>
    <x v="0"/>
    <x v="18"/>
    <x v="3"/>
    <x v="1"/>
    <x v="2"/>
  </r>
  <r>
    <x v="194"/>
    <x v="8"/>
    <x v="3"/>
    <n v="47.8"/>
    <n v="334.59999999999997"/>
    <x v="7"/>
    <d v="2025-01-08T00:00:00"/>
    <x v="2"/>
    <x v="0"/>
    <x v="0"/>
    <x v="0"/>
    <x v="19"/>
    <x v="7"/>
    <x v="1"/>
    <x v="2"/>
  </r>
  <r>
    <x v="195"/>
    <x v="0"/>
    <x v="1"/>
    <n v="10.199999999999999"/>
    <n v="20.399999999999999"/>
    <x v="7"/>
    <d v="2025-01-10T00:00:00"/>
    <x v="2"/>
    <x v="0"/>
    <x v="0"/>
    <x v="0"/>
    <x v="19"/>
    <x v="1"/>
    <x v="1"/>
    <x v="2"/>
  </r>
  <r>
    <x v="196"/>
    <x v="8"/>
    <x v="8"/>
    <n v="41"/>
    <n v="328"/>
    <x v="7"/>
    <d v="2025-01-08T00:00:00"/>
    <x v="2"/>
    <x v="1"/>
    <x v="2"/>
    <x v="0"/>
    <x v="19"/>
    <x v="7"/>
    <x v="1"/>
    <x v="2"/>
  </r>
  <r>
    <x v="197"/>
    <x v="10"/>
    <x v="3"/>
    <n v="50.8"/>
    <n v="355.59999999999997"/>
    <x v="7"/>
    <d v="2025-01-11T00:00:00"/>
    <x v="2"/>
    <x v="1"/>
    <x v="0"/>
    <x v="0"/>
    <x v="21"/>
    <x v="2"/>
    <x v="1"/>
    <x v="2"/>
  </r>
  <r>
    <x v="198"/>
    <x v="18"/>
    <x v="2"/>
    <n v="39.6"/>
    <n v="118.80000000000001"/>
    <x v="7"/>
    <d v="2025-01-09T00:00:00"/>
    <x v="1"/>
    <x v="2"/>
    <x v="2"/>
    <x v="0"/>
    <x v="1"/>
    <x v="3"/>
    <x v="1"/>
    <x v="1"/>
  </r>
  <r>
    <x v="199"/>
    <x v="5"/>
    <x v="1"/>
    <n v="69.5"/>
    <n v="139"/>
    <x v="7"/>
    <d v="2025-01-10T00:00:00"/>
    <x v="1"/>
    <x v="0"/>
    <x v="2"/>
    <x v="0"/>
    <x v="2"/>
    <x v="1"/>
    <x v="1"/>
    <x v="1"/>
  </r>
  <r>
    <x v="200"/>
    <x v="8"/>
    <x v="8"/>
    <n v="32.6"/>
    <n v="260.8"/>
    <x v="7"/>
    <d v="2025-01-11T00:00:00"/>
    <x v="1"/>
    <x v="1"/>
    <x v="0"/>
    <x v="0"/>
    <x v="3"/>
    <x v="2"/>
    <x v="1"/>
    <x v="1"/>
  </r>
  <r>
    <x v="201"/>
    <x v="7"/>
    <x v="1"/>
    <n v="49.1"/>
    <n v="98.2"/>
    <x v="7"/>
    <d v="2025-01-16T00:00:00"/>
    <x v="1"/>
    <x v="3"/>
    <x v="2"/>
    <x v="0"/>
    <x v="3"/>
    <x v="9"/>
    <x v="1"/>
    <x v="1"/>
  </r>
  <r>
    <x v="202"/>
    <x v="6"/>
    <x v="1"/>
    <n v="49.4"/>
    <n v="98.8"/>
    <x v="8"/>
    <d v="2025-01-10T00:00:00"/>
    <x v="2"/>
    <x v="2"/>
    <x v="0"/>
    <x v="0"/>
    <x v="3"/>
    <x v="3"/>
    <x v="1"/>
    <x v="2"/>
  </r>
  <r>
    <x v="203"/>
    <x v="7"/>
    <x v="3"/>
    <n v="65.099999999999994"/>
    <n v="455.69999999999993"/>
    <x v="8"/>
    <d v="2025-01-12T00:00:00"/>
    <x v="2"/>
    <x v="2"/>
    <x v="2"/>
    <x v="0"/>
    <x v="3"/>
    <x v="2"/>
    <x v="1"/>
    <x v="2"/>
  </r>
  <r>
    <x v="204"/>
    <x v="3"/>
    <x v="1"/>
    <n v="52.1"/>
    <n v="104.2"/>
    <x v="8"/>
    <d v="2025-01-13T00:00:00"/>
    <x v="2"/>
    <x v="2"/>
    <x v="0"/>
    <x v="0"/>
    <x v="3"/>
    <x v="5"/>
    <x v="1"/>
    <x v="2"/>
  </r>
  <r>
    <x v="205"/>
    <x v="2"/>
    <x v="12"/>
    <n v="129.19999999999999"/>
    <n v="516.79999999999995"/>
    <x v="8"/>
    <d v="2025-01-10T00:00:00"/>
    <x v="2"/>
    <x v="1"/>
    <x v="0"/>
    <x v="0"/>
    <x v="3"/>
    <x v="3"/>
    <x v="1"/>
    <x v="2"/>
  </r>
  <r>
    <x v="206"/>
    <x v="1"/>
    <x v="10"/>
    <n v="81.8"/>
    <n v="1554.2"/>
    <x v="8"/>
    <d v="2025-01-09T00:00:00"/>
    <x v="2"/>
    <x v="1"/>
    <x v="1"/>
    <x v="0"/>
    <x v="3"/>
    <x v="7"/>
    <x v="1"/>
    <x v="2"/>
  </r>
  <r>
    <x v="207"/>
    <x v="17"/>
    <x v="0"/>
    <n v="24.9"/>
    <n v="24.9"/>
    <x v="8"/>
    <d v="2025-01-13T00:00:00"/>
    <x v="2"/>
    <x v="1"/>
    <x v="0"/>
    <x v="0"/>
    <x v="3"/>
    <x v="5"/>
    <x v="1"/>
    <x v="2"/>
  </r>
  <r>
    <x v="208"/>
    <x v="0"/>
    <x v="2"/>
    <n v="49.4"/>
    <n v="148.19999999999999"/>
    <x v="8"/>
    <d v="2025-01-12T00:00:00"/>
    <x v="2"/>
    <x v="4"/>
    <x v="4"/>
    <x v="0"/>
    <x v="3"/>
    <x v="2"/>
    <x v="1"/>
    <x v="2"/>
  </r>
  <r>
    <x v="209"/>
    <x v="8"/>
    <x v="1"/>
    <n v="22.7"/>
    <n v="45.4"/>
    <x v="8"/>
    <d v="2025-01-10T00:00:00"/>
    <x v="1"/>
    <x v="3"/>
    <x v="2"/>
    <x v="0"/>
    <x v="3"/>
    <x v="3"/>
    <x v="1"/>
    <x v="1"/>
  </r>
  <r>
    <x v="210"/>
    <x v="1"/>
    <x v="0"/>
    <n v="77.3"/>
    <n v="77.3"/>
    <x v="8"/>
    <d v="2025-01-09T00:00:00"/>
    <x v="2"/>
    <x v="0"/>
    <x v="2"/>
    <x v="0"/>
    <x v="6"/>
    <x v="7"/>
    <x v="1"/>
    <x v="2"/>
  </r>
  <r>
    <x v="211"/>
    <x v="1"/>
    <x v="9"/>
    <n v="109.1"/>
    <n v="545.5"/>
    <x v="8"/>
    <d v="2025-01-12T00:00:00"/>
    <x v="2"/>
    <x v="0"/>
    <x v="0"/>
    <x v="0"/>
    <x v="6"/>
    <x v="2"/>
    <x v="1"/>
    <x v="2"/>
  </r>
  <r>
    <x v="212"/>
    <x v="2"/>
    <x v="12"/>
    <n v="53.9"/>
    <n v="215.6"/>
    <x v="8"/>
    <d v="2025-01-10T00:00:00"/>
    <x v="1"/>
    <x v="0"/>
    <x v="1"/>
    <x v="0"/>
    <x v="8"/>
    <x v="3"/>
    <x v="1"/>
    <x v="1"/>
  </r>
  <r>
    <x v="213"/>
    <x v="9"/>
    <x v="18"/>
    <n v="21.2"/>
    <n v="551.19999999999993"/>
    <x v="8"/>
    <d v="2025-01-09T00:00:00"/>
    <x v="2"/>
    <x v="0"/>
    <x v="0"/>
    <x v="0"/>
    <x v="9"/>
    <x v="7"/>
    <x v="1"/>
    <x v="2"/>
  </r>
  <r>
    <x v="214"/>
    <x v="16"/>
    <x v="12"/>
    <n v="69"/>
    <n v="276"/>
    <x v="8"/>
    <d v="2025-01-11T00:00:00"/>
    <x v="2"/>
    <x v="1"/>
    <x v="1"/>
    <x v="0"/>
    <x v="18"/>
    <x v="1"/>
    <x v="1"/>
    <x v="2"/>
  </r>
  <r>
    <x v="215"/>
    <x v="6"/>
    <x v="2"/>
    <n v="46.2"/>
    <n v="138.60000000000002"/>
    <x v="8"/>
    <d v="2025-01-11T00:00:00"/>
    <x v="2"/>
    <x v="0"/>
    <x v="2"/>
    <x v="0"/>
    <x v="31"/>
    <x v="1"/>
    <x v="1"/>
    <x v="2"/>
  </r>
  <r>
    <x v="216"/>
    <x v="1"/>
    <x v="9"/>
    <n v="97.4"/>
    <n v="487"/>
    <x v="8"/>
    <d v="2025-01-13T00:00:00"/>
    <x v="2"/>
    <x v="4"/>
    <x v="2"/>
    <x v="0"/>
    <x v="21"/>
    <x v="5"/>
    <x v="1"/>
    <x v="2"/>
  </r>
  <r>
    <x v="217"/>
    <x v="8"/>
    <x v="9"/>
    <n v="21"/>
    <n v="105"/>
    <x v="8"/>
    <d v="2025-01-10T00:00:00"/>
    <x v="1"/>
    <x v="0"/>
    <x v="1"/>
    <x v="0"/>
    <x v="21"/>
    <x v="3"/>
    <x v="1"/>
    <x v="1"/>
  </r>
  <r>
    <x v="218"/>
    <x v="5"/>
    <x v="1"/>
    <n v="32.700000000000003"/>
    <n v="65.400000000000006"/>
    <x v="9"/>
    <d v="2025-01-13T00:00:00"/>
    <x v="2"/>
    <x v="1"/>
    <x v="0"/>
    <x v="0"/>
    <x v="2"/>
    <x v="2"/>
    <x v="1"/>
    <x v="2"/>
  </r>
  <r>
    <x v="219"/>
    <x v="6"/>
    <x v="12"/>
    <n v="48"/>
    <n v="192"/>
    <x v="9"/>
    <d v="2025-01-11T00:00:00"/>
    <x v="1"/>
    <x v="3"/>
    <x v="0"/>
    <x v="0"/>
    <x v="3"/>
    <x v="3"/>
    <x v="1"/>
    <x v="1"/>
  </r>
  <r>
    <x v="220"/>
    <x v="6"/>
    <x v="2"/>
    <n v="68.2"/>
    <n v="204.60000000000002"/>
    <x v="9"/>
    <d v="2025-01-14T00:00:00"/>
    <x v="0"/>
    <x v="0"/>
    <x v="2"/>
    <x v="0"/>
    <x v="3"/>
    <x v="5"/>
    <x v="1"/>
    <x v="0"/>
  </r>
  <r>
    <x v="221"/>
    <x v="5"/>
    <x v="0"/>
    <n v="45.4"/>
    <n v="45.4"/>
    <x v="9"/>
    <d v="2025-01-12T00:00:00"/>
    <x v="1"/>
    <x v="1"/>
    <x v="0"/>
    <x v="0"/>
    <x v="3"/>
    <x v="1"/>
    <x v="1"/>
    <x v="1"/>
  </r>
  <r>
    <x v="222"/>
    <x v="12"/>
    <x v="1"/>
    <n v="53.9"/>
    <n v="107.8"/>
    <x v="9"/>
    <d v="2025-01-11T00:00:00"/>
    <x v="2"/>
    <x v="2"/>
    <x v="0"/>
    <x v="0"/>
    <x v="3"/>
    <x v="3"/>
    <x v="1"/>
    <x v="2"/>
  </r>
  <r>
    <x v="223"/>
    <x v="2"/>
    <x v="12"/>
    <n v="62.1"/>
    <n v="248.4"/>
    <x v="9"/>
    <d v="2025-01-14T00:00:00"/>
    <x v="2"/>
    <x v="0"/>
    <x v="0"/>
    <x v="0"/>
    <x v="4"/>
    <x v="5"/>
    <x v="1"/>
    <x v="2"/>
  </r>
  <r>
    <x v="224"/>
    <x v="13"/>
    <x v="3"/>
    <n v="33.1"/>
    <n v="231.70000000000002"/>
    <x v="9"/>
    <d v="2025-01-15T00:00:00"/>
    <x v="1"/>
    <x v="1"/>
    <x v="0"/>
    <x v="0"/>
    <x v="6"/>
    <x v="0"/>
    <x v="1"/>
    <x v="1"/>
  </r>
  <r>
    <x v="225"/>
    <x v="18"/>
    <x v="9"/>
    <n v="35.200000000000003"/>
    <n v="176"/>
    <x v="9"/>
    <d v="2025-01-10T00:00:00"/>
    <x v="2"/>
    <x v="1"/>
    <x v="0"/>
    <x v="0"/>
    <x v="6"/>
    <x v="7"/>
    <x v="1"/>
    <x v="2"/>
  </r>
  <r>
    <x v="226"/>
    <x v="9"/>
    <x v="2"/>
    <n v="32.1"/>
    <n v="96.300000000000011"/>
    <x v="9"/>
    <d v="2025-01-15T00:00:00"/>
    <x v="1"/>
    <x v="3"/>
    <x v="0"/>
    <x v="0"/>
    <x v="8"/>
    <x v="0"/>
    <x v="1"/>
    <x v="1"/>
  </r>
  <r>
    <x v="227"/>
    <x v="11"/>
    <x v="0"/>
    <n v="38.1"/>
    <n v="38.1"/>
    <x v="9"/>
    <d v="2025-01-15T00:00:00"/>
    <x v="2"/>
    <x v="0"/>
    <x v="2"/>
    <x v="0"/>
    <x v="8"/>
    <x v="0"/>
    <x v="1"/>
    <x v="2"/>
  </r>
  <r>
    <x v="228"/>
    <x v="8"/>
    <x v="0"/>
    <n v="65.2"/>
    <n v="65.2"/>
    <x v="9"/>
    <d v="2025-01-15T00:00:00"/>
    <x v="2"/>
    <x v="3"/>
    <x v="1"/>
    <x v="0"/>
    <x v="8"/>
    <x v="0"/>
    <x v="1"/>
    <x v="2"/>
  </r>
  <r>
    <x v="229"/>
    <x v="10"/>
    <x v="3"/>
    <n v="55.2"/>
    <n v="386.40000000000003"/>
    <x v="9"/>
    <d v="2025-01-11T00:00:00"/>
    <x v="1"/>
    <x v="2"/>
    <x v="0"/>
    <x v="0"/>
    <x v="11"/>
    <x v="3"/>
    <x v="1"/>
    <x v="1"/>
  </r>
  <r>
    <x v="230"/>
    <x v="6"/>
    <x v="0"/>
    <n v="62"/>
    <n v="62"/>
    <x v="9"/>
    <d v="2025-01-14T00:00:00"/>
    <x v="2"/>
    <x v="0"/>
    <x v="0"/>
    <x v="0"/>
    <x v="11"/>
    <x v="5"/>
    <x v="1"/>
    <x v="2"/>
  </r>
  <r>
    <x v="231"/>
    <x v="7"/>
    <x v="2"/>
    <n v="45.9"/>
    <n v="137.69999999999999"/>
    <x v="9"/>
    <d v="2025-01-11T00:00:00"/>
    <x v="2"/>
    <x v="2"/>
    <x v="0"/>
    <x v="0"/>
    <x v="32"/>
    <x v="3"/>
    <x v="1"/>
    <x v="2"/>
  </r>
  <r>
    <x v="232"/>
    <x v="18"/>
    <x v="2"/>
    <n v="58.3"/>
    <n v="174.89999999999998"/>
    <x v="9"/>
    <d v="2025-01-10T00:00:00"/>
    <x v="1"/>
    <x v="1"/>
    <x v="1"/>
    <x v="0"/>
    <x v="18"/>
    <x v="7"/>
    <x v="1"/>
    <x v="1"/>
  </r>
  <r>
    <x v="233"/>
    <x v="8"/>
    <x v="1"/>
    <n v="22.3"/>
    <n v="44.6"/>
    <x v="9"/>
    <d v="2025-01-13T00:00:00"/>
    <x v="2"/>
    <x v="0"/>
    <x v="2"/>
    <x v="0"/>
    <x v="20"/>
    <x v="2"/>
    <x v="1"/>
    <x v="2"/>
  </r>
  <r>
    <x v="234"/>
    <x v="19"/>
    <x v="9"/>
    <n v="24"/>
    <n v="120"/>
    <x v="9"/>
    <d v="2025-01-11T00:00:00"/>
    <x v="1"/>
    <x v="4"/>
    <x v="0"/>
    <x v="0"/>
    <x v="1"/>
    <x v="3"/>
    <x v="1"/>
    <x v="1"/>
  </r>
  <r>
    <x v="235"/>
    <x v="0"/>
    <x v="7"/>
    <n v="21.3"/>
    <n v="213"/>
    <x v="9"/>
    <d v="2025-01-10T00:00:00"/>
    <x v="2"/>
    <x v="1"/>
    <x v="2"/>
    <x v="0"/>
    <x v="22"/>
    <x v="7"/>
    <x v="1"/>
    <x v="2"/>
  </r>
  <r>
    <x v="236"/>
    <x v="6"/>
    <x v="24"/>
    <n v="57.8"/>
    <n v="2369.7999999999997"/>
    <x v="9"/>
    <d v="2025-01-12T00:00:00"/>
    <x v="2"/>
    <x v="0"/>
    <x v="2"/>
    <x v="0"/>
    <x v="3"/>
    <x v="1"/>
    <x v="1"/>
    <x v="2"/>
  </r>
  <r>
    <x v="237"/>
    <x v="10"/>
    <x v="2"/>
    <n v="67.599999999999994"/>
    <n v="202.79999999999998"/>
    <x v="9"/>
    <d v="2025-01-11T00:00:00"/>
    <x v="2"/>
    <x v="0"/>
    <x v="0"/>
    <x v="0"/>
    <x v="3"/>
    <x v="3"/>
    <x v="1"/>
    <x v="2"/>
  </r>
  <r>
    <x v="238"/>
    <x v="6"/>
    <x v="13"/>
    <n v="66.7"/>
    <n v="400.20000000000005"/>
    <x v="9"/>
    <d v="2025-01-14T00:00:00"/>
    <x v="1"/>
    <x v="4"/>
    <x v="1"/>
    <x v="0"/>
    <x v="3"/>
    <x v="5"/>
    <x v="1"/>
    <x v="1"/>
  </r>
  <r>
    <x v="239"/>
    <x v="1"/>
    <x v="12"/>
    <n v="53.1"/>
    <n v="212.4"/>
    <x v="9"/>
    <d v="2025-01-12T00:00:00"/>
    <x v="2"/>
    <x v="1"/>
    <x v="0"/>
    <x v="0"/>
    <x v="3"/>
    <x v="1"/>
    <x v="1"/>
    <x v="2"/>
  </r>
  <r>
    <x v="240"/>
    <x v="12"/>
    <x v="2"/>
    <n v="57.4"/>
    <n v="172.2"/>
    <x v="9"/>
    <d v="2025-01-13T00:00:00"/>
    <x v="2"/>
    <x v="0"/>
    <x v="2"/>
    <x v="0"/>
    <x v="29"/>
    <x v="2"/>
    <x v="1"/>
    <x v="2"/>
  </r>
  <r>
    <x v="241"/>
    <x v="2"/>
    <x v="9"/>
    <n v="58.1"/>
    <n v="290.5"/>
    <x v="9"/>
    <d v="2025-01-10T00:00:00"/>
    <x v="1"/>
    <x v="2"/>
    <x v="2"/>
    <x v="0"/>
    <x v="6"/>
    <x v="7"/>
    <x v="1"/>
    <x v="1"/>
  </r>
  <r>
    <x v="242"/>
    <x v="5"/>
    <x v="2"/>
    <n v="31.8"/>
    <n v="95.4"/>
    <x v="10"/>
    <d v="2025-01-13T00:00:00"/>
    <x v="1"/>
    <x v="3"/>
    <x v="0"/>
    <x v="0"/>
    <x v="6"/>
    <x v="1"/>
    <x v="1"/>
    <x v="1"/>
  </r>
  <r>
    <x v="243"/>
    <x v="4"/>
    <x v="2"/>
    <n v="31.5"/>
    <n v="94.5"/>
    <x v="10"/>
    <d v="2025-01-14T00:00:00"/>
    <x v="1"/>
    <x v="0"/>
    <x v="1"/>
    <x v="0"/>
    <x v="8"/>
    <x v="2"/>
    <x v="1"/>
    <x v="1"/>
  </r>
  <r>
    <x v="244"/>
    <x v="6"/>
    <x v="3"/>
    <n v="55.9"/>
    <n v="391.3"/>
    <x v="10"/>
    <d v="2025-01-15T00:00:00"/>
    <x v="2"/>
    <x v="1"/>
    <x v="2"/>
    <x v="0"/>
    <x v="8"/>
    <x v="5"/>
    <x v="1"/>
    <x v="2"/>
  </r>
  <r>
    <x v="245"/>
    <x v="8"/>
    <x v="1"/>
    <n v="36.4"/>
    <n v="72.8"/>
    <x v="10"/>
    <d v="2025-01-12T00:00:00"/>
    <x v="1"/>
    <x v="1"/>
    <x v="1"/>
    <x v="0"/>
    <x v="9"/>
    <x v="3"/>
    <x v="1"/>
    <x v="1"/>
  </r>
  <r>
    <x v="246"/>
    <x v="1"/>
    <x v="9"/>
    <n v="47.3"/>
    <n v="236.5"/>
    <x v="10"/>
    <d v="2025-01-14T00:00:00"/>
    <x v="1"/>
    <x v="2"/>
    <x v="0"/>
    <x v="0"/>
    <x v="10"/>
    <x v="2"/>
    <x v="1"/>
    <x v="1"/>
  </r>
  <r>
    <x v="247"/>
    <x v="6"/>
    <x v="2"/>
    <n v="82.5"/>
    <n v="247.5"/>
    <x v="10"/>
    <d v="2025-01-12T00:00:00"/>
    <x v="1"/>
    <x v="0"/>
    <x v="0"/>
    <x v="0"/>
    <x v="11"/>
    <x v="3"/>
    <x v="1"/>
    <x v="1"/>
  </r>
  <r>
    <x v="248"/>
    <x v="0"/>
    <x v="0"/>
    <n v="14.3"/>
    <n v="14.3"/>
    <x v="10"/>
    <d v="2025-01-12T00:00:00"/>
    <x v="2"/>
    <x v="0"/>
    <x v="0"/>
    <x v="0"/>
    <x v="21"/>
    <x v="3"/>
    <x v="1"/>
    <x v="2"/>
  </r>
  <r>
    <x v="249"/>
    <x v="2"/>
    <x v="13"/>
    <n v="57.6"/>
    <n v="345.6"/>
    <x v="10"/>
    <d v="2025-01-25T00:00:00"/>
    <x v="2"/>
    <x v="0"/>
    <x v="0"/>
    <x v="0"/>
    <x v="21"/>
    <x v="12"/>
    <x v="1"/>
    <x v="2"/>
  </r>
  <r>
    <x v="250"/>
    <x v="2"/>
    <x v="2"/>
    <n v="142.4"/>
    <n v="427.20000000000005"/>
    <x v="10"/>
    <d v="2025-01-13T00:00:00"/>
    <x v="1"/>
    <x v="4"/>
    <x v="1"/>
    <x v="0"/>
    <x v="21"/>
    <x v="1"/>
    <x v="1"/>
    <x v="1"/>
  </r>
  <r>
    <x v="251"/>
    <x v="12"/>
    <x v="0"/>
    <n v="30.2"/>
    <n v="30.2"/>
    <x v="10"/>
    <d v="2025-01-15T00:00:00"/>
    <x v="1"/>
    <x v="1"/>
    <x v="2"/>
    <x v="0"/>
    <x v="2"/>
    <x v="5"/>
    <x v="1"/>
    <x v="1"/>
  </r>
  <r>
    <x v="252"/>
    <x v="18"/>
    <x v="2"/>
    <n v="65.3"/>
    <n v="195.89999999999998"/>
    <x v="10"/>
    <d v="2025-01-12T00:00:00"/>
    <x v="3"/>
    <x v="1"/>
    <x v="0"/>
    <x v="0"/>
    <x v="33"/>
    <x v="3"/>
    <x v="1"/>
    <x v="3"/>
  </r>
  <r>
    <x v="253"/>
    <x v="0"/>
    <x v="1"/>
    <n v="33.4"/>
    <n v="66.8"/>
    <x v="10"/>
    <d v="2025-01-12T00:00:00"/>
    <x v="1"/>
    <x v="1"/>
    <x v="1"/>
    <x v="0"/>
    <x v="22"/>
    <x v="3"/>
    <x v="1"/>
    <x v="1"/>
  </r>
  <r>
    <x v="254"/>
    <x v="7"/>
    <x v="1"/>
    <n v="45.1"/>
    <n v="90.2"/>
    <x v="10"/>
    <d v="2025-01-19T00:00:00"/>
    <x v="1"/>
    <x v="0"/>
    <x v="0"/>
    <x v="0"/>
    <x v="34"/>
    <x v="9"/>
    <x v="1"/>
    <x v="1"/>
  </r>
  <r>
    <x v="255"/>
    <x v="2"/>
    <x v="3"/>
    <n v="61.7"/>
    <n v="431.90000000000003"/>
    <x v="10"/>
    <d v="2025-01-13T00:00:00"/>
    <x v="2"/>
    <x v="4"/>
    <x v="0"/>
    <x v="0"/>
    <x v="3"/>
    <x v="1"/>
    <x v="1"/>
    <x v="2"/>
  </r>
  <r>
    <x v="256"/>
    <x v="9"/>
    <x v="2"/>
    <n v="45.1"/>
    <n v="135.30000000000001"/>
    <x v="11"/>
    <d v="2025-01-13T00:00:00"/>
    <x v="1"/>
    <x v="4"/>
    <x v="1"/>
    <x v="0"/>
    <x v="3"/>
    <x v="3"/>
    <x v="2"/>
    <x v="1"/>
  </r>
  <r>
    <x v="257"/>
    <x v="15"/>
    <x v="9"/>
    <n v="22.7"/>
    <n v="113.5"/>
    <x v="11"/>
    <d v="2025-01-17T00:00:00"/>
    <x v="1"/>
    <x v="0"/>
    <x v="2"/>
    <x v="0"/>
    <x v="35"/>
    <x v="0"/>
    <x v="2"/>
    <x v="1"/>
  </r>
  <r>
    <x v="258"/>
    <x v="8"/>
    <x v="0"/>
    <n v="17.600000000000001"/>
    <n v="17.600000000000001"/>
    <x v="11"/>
    <d v="2025-01-13T00:00:00"/>
    <x v="2"/>
    <x v="0"/>
    <x v="2"/>
    <x v="0"/>
    <x v="23"/>
    <x v="3"/>
    <x v="2"/>
    <x v="2"/>
  </r>
  <r>
    <x v="259"/>
    <x v="14"/>
    <x v="1"/>
    <n v="11.3"/>
    <n v="22.6"/>
    <x v="11"/>
    <d v="2025-01-15T00:00:00"/>
    <x v="2"/>
    <x v="3"/>
    <x v="2"/>
    <x v="0"/>
    <x v="23"/>
    <x v="2"/>
    <x v="2"/>
    <x v="2"/>
  </r>
  <r>
    <x v="260"/>
    <x v="6"/>
    <x v="2"/>
    <n v="53.4"/>
    <n v="160.19999999999999"/>
    <x v="11"/>
    <d v="2025-01-15T00:00:00"/>
    <x v="1"/>
    <x v="3"/>
    <x v="2"/>
    <x v="0"/>
    <x v="36"/>
    <x v="2"/>
    <x v="2"/>
    <x v="1"/>
  </r>
  <r>
    <x v="261"/>
    <x v="6"/>
    <x v="5"/>
    <n v="51.1"/>
    <n v="562.1"/>
    <x v="11"/>
    <d v="2025-01-14T00:00:00"/>
    <x v="2"/>
    <x v="2"/>
    <x v="2"/>
    <x v="0"/>
    <x v="8"/>
    <x v="1"/>
    <x v="2"/>
    <x v="2"/>
  </r>
  <r>
    <x v="262"/>
    <x v="8"/>
    <x v="1"/>
    <n v="27.5"/>
    <n v="55"/>
    <x v="11"/>
    <d v="2025-01-13T00:00:00"/>
    <x v="1"/>
    <x v="4"/>
    <x v="1"/>
    <x v="0"/>
    <x v="8"/>
    <x v="3"/>
    <x v="2"/>
    <x v="1"/>
  </r>
  <r>
    <x v="263"/>
    <x v="9"/>
    <x v="0"/>
    <n v="33.5"/>
    <n v="33.5"/>
    <x v="11"/>
    <d v="2025-01-14T00:00:00"/>
    <x v="2"/>
    <x v="0"/>
    <x v="4"/>
    <x v="0"/>
    <x v="8"/>
    <x v="1"/>
    <x v="2"/>
    <x v="2"/>
  </r>
  <r>
    <x v="264"/>
    <x v="4"/>
    <x v="0"/>
    <n v="59.5"/>
    <n v="59.5"/>
    <x v="11"/>
    <d v="2025-01-12T00:00:00"/>
    <x v="1"/>
    <x v="0"/>
    <x v="2"/>
    <x v="0"/>
    <x v="18"/>
    <x v="7"/>
    <x v="2"/>
    <x v="1"/>
  </r>
  <r>
    <x v="265"/>
    <x v="17"/>
    <x v="12"/>
    <n v="23.5"/>
    <n v="94"/>
    <x v="11"/>
    <d v="2025-01-13T00:00:00"/>
    <x v="2"/>
    <x v="3"/>
    <x v="3"/>
    <x v="0"/>
    <x v="19"/>
    <x v="3"/>
    <x v="2"/>
    <x v="2"/>
  </r>
  <r>
    <x v="266"/>
    <x v="6"/>
    <x v="0"/>
    <n v="49.7"/>
    <n v="49.7"/>
    <x v="11"/>
    <d v="2025-01-13T00:00:00"/>
    <x v="0"/>
    <x v="1"/>
    <x v="2"/>
    <x v="0"/>
    <x v="20"/>
    <x v="3"/>
    <x v="2"/>
    <x v="0"/>
  </r>
  <r>
    <x v="267"/>
    <x v="6"/>
    <x v="12"/>
    <n v="44.2"/>
    <n v="176.8"/>
    <x v="11"/>
    <d v="2025-01-15T00:00:00"/>
    <x v="2"/>
    <x v="0"/>
    <x v="2"/>
    <x v="0"/>
    <x v="21"/>
    <x v="2"/>
    <x v="2"/>
    <x v="2"/>
  </r>
  <r>
    <x v="268"/>
    <x v="8"/>
    <x v="0"/>
    <n v="22.1"/>
    <n v="22.1"/>
    <x v="11"/>
    <d v="2025-01-16T00:00:00"/>
    <x v="2"/>
    <x v="1"/>
    <x v="1"/>
    <x v="0"/>
    <x v="33"/>
    <x v="5"/>
    <x v="2"/>
    <x v="2"/>
  </r>
  <r>
    <x v="269"/>
    <x v="6"/>
    <x v="2"/>
    <n v="90.9"/>
    <n v="272.70000000000005"/>
    <x v="11"/>
    <d v="2025-01-13T00:00:00"/>
    <x v="2"/>
    <x v="2"/>
    <x v="4"/>
    <x v="0"/>
    <x v="3"/>
    <x v="3"/>
    <x v="2"/>
    <x v="2"/>
  </r>
  <r>
    <x v="270"/>
    <x v="8"/>
    <x v="2"/>
    <n v="44.5"/>
    <n v="133.5"/>
    <x v="11"/>
    <d v="2025-01-13T00:00:00"/>
    <x v="2"/>
    <x v="1"/>
    <x v="0"/>
    <x v="0"/>
    <x v="3"/>
    <x v="3"/>
    <x v="2"/>
    <x v="2"/>
  </r>
  <r>
    <x v="271"/>
    <x v="9"/>
    <x v="13"/>
    <n v="32.299999999999997"/>
    <n v="193.79999999999998"/>
    <x v="11"/>
    <d v="2025-01-16T00:00:00"/>
    <x v="2"/>
    <x v="0"/>
    <x v="0"/>
    <x v="0"/>
    <x v="3"/>
    <x v="5"/>
    <x v="2"/>
    <x v="2"/>
  </r>
  <r>
    <x v="272"/>
    <x v="17"/>
    <x v="2"/>
    <n v="87.5"/>
    <n v="262.5"/>
    <x v="11"/>
    <d v="2025-01-13T00:00:00"/>
    <x v="2"/>
    <x v="1"/>
    <x v="1"/>
    <x v="0"/>
    <x v="3"/>
    <x v="3"/>
    <x v="2"/>
    <x v="2"/>
  </r>
  <r>
    <x v="273"/>
    <x v="16"/>
    <x v="9"/>
    <n v="48.7"/>
    <n v="243.5"/>
    <x v="11"/>
    <d v="2025-01-13T00:00:00"/>
    <x v="1"/>
    <x v="2"/>
    <x v="0"/>
    <x v="0"/>
    <x v="3"/>
    <x v="3"/>
    <x v="2"/>
    <x v="1"/>
  </r>
  <r>
    <x v="274"/>
    <x v="0"/>
    <x v="9"/>
    <n v="22.5"/>
    <n v="112.5"/>
    <x v="11"/>
    <d v="2025-01-13T00:00:00"/>
    <x v="1"/>
    <x v="0"/>
    <x v="0"/>
    <x v="0"/>
    <x v="3"/>
    <x v="3"/>
    <x v="2"/>
    <x v="1"/>
  </r>
  <r>
    <x v="275"/>
    <x v="1"/>
    <x v="8"/>
    <n v="65.900000000000006"/>
    <n v="527.20000000000005"/>
    <x v="11"/>
    <d v="2025-01-15T00:00:00"/>
    <x v="2"/>
    <x v="1"/>
    <x v="2"/>
    <x v="0"/>
    <x v="3"/>
    <x v="2"/>
    <x v="2"/>
    <x v="2"/>
  </r>
  <r>
    <x v="276"/>
    <x v="6"/>
    <x v="9"/>
    <n v="41.9"/>
    <n v="209.5"/>
    <x v="11"/>
    <d v="2025-01-19T00:00:00"/>
    <x v="0"/>
    <x v="0"/>
    <x v="0"/>
    <x v="0"/>
    <x v="3"/>
    <x v="6"/>
    <x v="2"/>
    <x v="0"/>
  </r>
  <r>
    <x v="277"/>
    <x v="1"/>
    <x v="9"/>
    <n v="67.5"/>
    <n v="337.5"/>
    <x v="11"/>
    <d v="2025-01-13T00:00:00"/>
    <x v="2"/>
    <x v="0"/>
    <x v="2"/>
    <x v="0"/>
    <x v="3"/>
    <x v="3"/>
    <x v="2"/>
    <x v="2"/>
  </r>
  <r>
    <x v="278"/>
    <x v="9"/>
    <x v="0"/>
    <n v="60.4"/>
    <n v="60.4"/>
    <x v="12"/>
    <d v="2025-01-15T00:00:00"/>
    <x v="2"/>
    <x v="1"/>
    <x v="1"/>
    <x v="0"/>
    <x v="3"/>
    <x v="1"/>
    <x v="2"/>
    <x v="2"/>
  </r>
  <r>
    <x v="279"/>
    <x v="1"/>
    <x v="3"/>
    <n v="30.4"/>
    <n v="212.79999999999998"/>
    <x v="12"/>
    <d v="2025-01-16T00:00:00"/>
    <x v="2"/>
    <x v="4"/>
    <x v="0"/>
    <x v="0"/>
    <x v="3"/>
    <x v="2"/>
    <x v="2"/>
    <x v="2"/>
  </r>
  <r>
    <x v="280"/>
    <x v="14"/>
    <x v="1"/>
    <n v="24.5"/>
    <n v="49"/>
    <x v="12"/>
    <d v="2025-01-14T00:00:00"/>
    <x v="1"/>
    <x v="3"/>
    <x v="2"/>
    <x v="0"/>
    <x v="3"/>
    <x v="3"/>
    <x v="2"/>
    <x v="1"/>
  </r>
  <r>
    <x v="281"/>
    <x v="2"/>
    <x v="2"/>
    <n v="105.9"/>
    <n v="317.70000000000005"/>
    <x v="12"/>
    <d v="2025-01-18T00:00:00"/>
    <x v="1"/>
    <x v="0"/>
    <x v="0"/>
    <x v="0"/>
    <x v="37"/>
    <x v="0"/>
    <x v="2"/>
    <x v="1"/>
  </r>
  <r>
    <x v="282"/>
    <x v="10"/>
    <x v="25"/>
    <n v="25.9"/>
    <n v="621.59999999999991"/>
    <x v="12"/>
    <d v="2025-01-14T00:00:00"/>
    <x v="2"/>
    <x v="4"/>
    <x v="0"/>
    <x v="0"/>
    <x v="23"/>
    <x v="3"/>
    <x v="2"/>
    <x v="2"/>
  </r>
  <r>
    <x v="283"/>
    <x v="6"/>
    <x v="2"/>
    <n v="66.8"/>
    <n v="200.39999999999998"/>
    <x v="12"/>
    <d v="2025-01-13T00:00:00"/>
    <x v="1"/>
    <x v="0"/>
    <x v="0"/>
    <x v="0"/>
    <x v="23"/>
    <x v="7"/>
    <x v="2"/>
    <x v="1"/>
  </r>
  <r>
    <x v="284"/>
    <x v="6"/>
    <x v="2"/>
    <n v="112.3"/>
    <n v="336.9"/>
    <x v="12"/>
    <d v="2025-01-14T00:00:00"/>
    <x v="1"/>
    <x v="2"/>
    <x v="4"/>
    <x v="0"/>
    <x v="6"/>
    <x v="3"/>
    <x v="2"/>
    <x v="1"/>
  </r>
  <r>
    <x v="285"/>
    <x v="1"/>
    <x v="13"/>
    <n v="94.1"/>
    <n v="564.59999999999991"/>
    <x v="12"/>
    <d v="2025-01-14T00:00:00"/>
    <x v="2"/>
    <x v="0"/>
    <x v="4"/>
    <x v="0"/>
    <x v="6"/>
    <x v="3"/>
    <x v="2"/>
    <x v="2"/>
  </r>
  <r>
    <x v="286"/>
    <x v="5"/>
    <x v="0"/>
    <n v="40.700000000000003"/>
    <n v="40.700000000000003"/>
    <x v="12"/>
    <d v="2025-01-16T00:00:00"/>
    <x v="2"/>
    <x v="2"/>
    <x v="0"/>
    <x v="0"/>
    <x v="6"/>
    <x v="2"/>
    <x v="2"/>
    <x v="2"/>
  </r>
  <r>
    <x v="287"/>
    <x v="3"/>
    <x v="1"/>
    <n v="71.400000000000006"/>
    <n v="142.80000000000001"/>
    <x v="12"/>
    <d v="2025-01-14T00:00:00"/>
    <x v="1"/>
    <x v="0"/>
    <x v="0"/>
    <x v="0"/>
    <x v="7"/>
    <x v="3"/>
    <x v="2"/>
    <x v="1"/>
  </r>
  <r>
    <x v="288"/>
    <x v="0"/>
    <x v="16"/>
    <n v="15.6"/>
    <n v="280.8"/>
    <x v="12"/>
    <d v="2025-01-14T00:00:00"/>
    <x v="1"/>
    <x v="1"/>
    <x v="3"/>
    <x v="0"/>
    <x v="8"/>
    <x v="3"/>
    <x v="2"/>
    <x v="1"/>
  </r>
  <r>
    <x v="289"/>
    <x v="10"/>
    <x v="12"/>
    <n v="37.799999999999997"/>
    <n v="151.19999999999999"/>
    <x v="12"/>
    <d v="2025-01-14T00:00:00"/>
    <x v="1"/>
    <x v="2"/>
    <x v="2"/>
    <x v="0"/>
    <x v="8"/>
    <x v="3"/>
    <x v="2"/>
    <x v="1"/>
  </r>
  <r>
    <x v="290"/>
    <x v="4"/>
    <x v="2"/>
    <n v="28.1"/>
    <n v="84.300000000000011"/>
    <x v="12"/>
    <d v="2025-01-17T00:00:00"/>
    <x v="1"/>
    <x v="0"/>
    <x v="0"/>
    <x v="0"/>
    <x v="8"/>
    <x v="5"/>
    <x v="2"/>
    <x v="1"/>
  </r>
  <r>
    <x v="291"/>
    <x v="7"/>
    <x v="13"/>
    <n v="51.4"/>
    <n v="308.39999999999998"/>
    <x v="12"/>
    <d v="2025-01-17T00:00:00"/>
    <x v="1"/>
    <x v="0"/>
    <x v="0"/>
    <x v="0"/>
    <x v="8"/>
    <x v="5"/>
    <x v="2"/>
    <x v="1"/>
  </r>
  <r>
    <x v="292"/>
    <x v="7"/>
    <x v="1"/>
    <n v="97.7"/>
    <n v="195.4"/>
    <x v="12"/>
    <d v="2025-01-15T00:00:00"/>
    <x v="2"/>
    <x v="4"/>
    <x v="2"/>
    <x v="0"/>
    <x v="17"/>
    <x v="1"/>
    <x v="2"/>
    <x v="2"/>
  </r>
  <r>
    <x v="293"/>
    <x v="1"/>
    <x v="12"/>
    <n v="63.8"/>
    <n v="255.2"/>
    <x v="12"/>
    <d v="2025-01-14T00:00:00"/>
    <x v="1"/>
    <x v="2"/>
    <x v="0"/>
    <x v="0"/>
    <x v="38"/>
    <x v="3"/>
    <x v="2"/>
    <x v="1"/>
  </r>
  <r>
    <x v="294"/>
    <x v="13"/>
    <x v="1"/>
    <n v="20.100000000000001"/>
    <n v="40.200000000000003"/>
    <x v="12"/>
    <d v="2025-01-15T00:00:00"/>
    <x v="1"/>
    <x v="0"/>
    <x v="2"/>
    <x v="0"/>
    <x v="20"/>
    <x v="1"/>
    <x v="2"/>
    <x v="1"/>
  </r>
  <r>
    <x v="295"/>
    <x v="11"/>
    <x v="2"/>
    <n v="50.4"/>
    <n v="151.19999999999999"/>
    <x v="12"/>
    <d v="2025-01-16T00:00:00"/>
    <x v="2"/>
    <x v="3"/>
    <x v="0"/>
    <x v="0"/>
    <x v="13"/>
    <x v="2"/>
    <x v="2"/>
    <x v="2"/>
  </r>
  <r>
    <x v="296"/>
    <x v="0"/>
    <x v="0"/>
    <n v="16.2"/>
    <n v="16.2"/>
    <x v="12"/>
    <d v="2025-01-26T00:00:00"/>
    <x v="2"/>
    <x v="1"/>
    <x v="0"/>
    <x v="0"/>
    <x v="1"/>
    <x v="10"/>
    <x v="2"/>
    <x v="2"/>
  </r>
  <r>
    <x v="297"/>
    <x v="6"/>
    <x v="3"/>
    <n v="80.900000000000006"/>
    <n v="566.30000000000007"/>
    <x v="12"/>
    <d v="2025-01-15T00:00:00"/>
    <x v="1"/>
    <x v="4"/>
    <x v="4"/>
    <x v="0"/>
    <x v="2"/>
    <x v="1"/>
    <x v="2"/>
    <x v="1"/>
  </r>
  <r>
    <x v="298"/>
    <x v="9"/>
    <x v="13"/>
    <n v="95.2"/>
    <n v="571.20000000000005"/>
    <x v="12"/>
    <d v="2025-01-15T00:00:00"/>
    <x v="2"/>
    <x v="0"/>
    <x v="2"/>
    <x v="0"/>
    <x v="2"/>
    <x v="1"/>
    <x v="2"/>
    <x v="2"/>
  </r>
  <r>
    <x v="299"/>
    <x v="5"/>
    <x v="8"/>
    <n v="70.400000000000006"/>
    <n v="563.20000000000005"/>
    <x v="12"/>
    <d v="2025-01-14T00:00:00"/>
    <x v="1"/>
    <x v="1"/>
    <x v="1"/>
    <x v="0"/>
    <x v="3"/>
    <x v="3"/>
    <x v="2"/>
    <x v="1"/>
  </r>
  <r>
    <x v="300"/>
    <x v="0"/>
    <x v="9"/>
    <n v="10.7"/>
    <n v="53.5"/>
    <x v="12"/>
    <d v="2025-01-17T00:00:00"/>
    <x v="2"/>
    <x v="2"/>
    <x v="0"/>
    <x v="0"/>
    <x v="3"/>
    <x v="5"/>
    <x v="2"/>
    <x v="2"/>
  </r>
  <r>
    <x v="301"/>
    <x v="8"/>
    <x v="9"/>
    <n v="19.600000000000001"/>
    <n v="98"/>
    <x v="12"/>
    <d v="2025-01-15T00:00:00"/>
    <x v="2"/>
    <x v="0"/>
    <x v="3"/>
    <x v="0"/>
    <x v="3"/>
    <x v="1"/>
    <x v="2"/>
    <x v="2"/>
  </r>
  <r>
    <x v="302"/>
    <x v="8"/>
    <x v="5"/>
    <n v="34.700000000000003"/>
    <n v="381.70000000000005"/>
    <x v="12"/>
    <d v="2025-01-15T00:00:00"/>
    <x v="2"/>
    <x v="0"/>
    <x v="2"/>
    <x v="0"/>
    <x v="3"/>
    <x v="1"/>
    <x v="2"/>
    <x v="2"/>
  </r>
  <r>
    <x v="303"/>
    <x v="10"/>
    <x v="11"/>
    <n v="34.1"/>
    <n v="306.90000000000003"/>
    <x v="12"/>
    <d v="2025-01-14T00:00:00"/>
    <x v="2"/>
    <x v="4"/>
    <x v="1"/>
    <x v="0"/>
    <x v="3"/>
    <x v="3"/>
    <x v="2"/>
    <x v="2"/>
  </r>
  <r>
    <x v="304"/>
    <x v="0"/>
    <x v="26"/>
    <n v="29.3"/>
    <n v="1435.7"/>
    <x v="12"/>
    <d v="2025-01-13T00:00:00"/>
    <x v="1"/>
    <x v="0"/>
    <x v="1"/>
    <x v="0"/>
    <x v="3"/>
    <x v="7"/>
    <x v="2"/>
    <x v="1"/>
  </r>
  <r>
    <x v="305"/>
    <x v="1"/>
    <x v="0"/>
    <n v="55.2"/>
    <n v="55.2"/>
    <x v="12"/>
    <d v="2025-01-14T00:00:00"/>
    <x v="2"/>
    <x v="0"/>
    <x v="1"/>
    <x v="0"/>
    <x v="3"/>
    <x v="3"/>
    <x v="2"/>
    <x v="2"/>
  </r>
  <r>
    <x v="306"/>
    <x v="18"/>
    <x v="2"/>
    <n v="26"/>
    <n v="78"/>
    <x v="12"/>
    <d v="2025-01-16T00:00:00"/>
    <x v="2"/>
    <x v="0"/>
    <x v="2"/>
    <x v="0"/>
    <x v="3"/>
    <x v="2"/>
    <x v="2"/>
    <x v="2"/>
  </r>
  <r>
    <x v="307"/>
    <x v="14"/>
    <x v="1"/>
    <n v="14.2"/>
    <n v="28.4"/>
    <x v="12"/>
    <d v="2025-01-18T00:00:00"/>
    <x v="2"/>
    <x v="3"/>
    <x v="0"/>
    <x v="0"/>
    <x v="39"/>
    <x v="0"/>
    <x v="2"/>
    <x v="2"/>
  </r>
  <r>
    <x v="308"/>
    <x v="8"/>
    <x v="11"/>
    <n v="22.7"/>
    <n v="204.29999999999998"/>
    <x v="13"/>
    <d v="2025-01-15T00:00:00"/>
    <x v="1"/>
    <x v="1"/>
    <x v="0"/>
    <x v="0"/>
    <x v="6"/>
    <x v="3"/>
    <x v="2"/>
    <x v="1"/>
  </r>
  <r>
    <x v="309"/>
    <x v="0"/>
    <x v="20"/>
    <n v="19.8"/>
    <n v="297"/>
    <x v="13"/>
    <d v="2025-01-14T00:00:00"/>
    <x v="2"/>
    <x v="0"/>
    <x v="2"/>
    <x v="0"/>
    <x v="6"/>
    <x v="7"/>
    <x v="2"/>
    <x v="2"/>
  </r>
  <r>
    <x v="310"/>
    <x v="0"/>
    <x v="2"/>
    <n v="31.7"/>
    <n v="95.1"/>
    <x v="13"/>
    <d v="2025-01-15T00:00:00"/>
    <x v="1"/>
    <x v="2"/>
    <x v="0"/>
    <x v="0"/>
    <x v="6"/>
    <x v="3"/>
    <x v="2"/>
    <x v="1"/>
  </r>
  <r>
    <x v="311"/>
    <x v="8"/>
    <x v="12"/>
    <n v="30.4"/>
    <n v="121.6"/>
    <x v="13"/>
    <d v="2025-01-18T00:00:00"/>
    <x v="1"/>
    <x v="0"/>
    <x v="0"/>
    <x v="0"/>
    <x v="6"/>
    <x v="5"/>
    <x v="2"/>
    <x v="1"/>
  </r>
  <r>
    <x v="312"/>
    <x v="0"/>
    <x v="12"/>
    <n v="25.6"/>
    <n v="102.4"/>
    <x v="13"/>
    <d v="2025-01-15T00:00:00"/>
    <x v="1"/>
    <x v="3"/>
    <x v="0"/>
    <x v="0"/>
    <x v="8"/>
    <x v="3"/>
    <x v="2"/>
    <x v="1"/>
  </r>
  <r>
    <x v="313"/>
    <x v="5"/>
    <x v="1"/>
    <n v="34.9"/>
    <n v="69.8"/>
    <x v="13"/>
    <d v="2025-01-15T00:00:00"/>
    <x v="2"/>
    <x v="2"/>
    <x v="0"/>
    <x v="0"/>
    <x v="9"/>
    <x v="3"/>
    <x v="2"/>
    <x v="2"/>
  </r>
  <r>
    <x v="314"/>
    <x v="7"/>
    <x v="13"/>
    <n v="42.7"/>
    <n v="256.20000000000005"/>
    <x v="13"/>
    <d v="2025-01-17T00:00:00"/>
    <x v="1"/>
    <x v="2"/>
    <x v="1"/>
    <x v="0"/>
    <x v="11"/>
    <x v="2"/>
    <x v="2"/>
    <x v="1"/>
  </r>
  <r>
    <x v="315"/>
    <x v="8"/>
    <x v="0"/>
    <n v="23.9"/>
    <n v="23.9"/>
    <x v="13"/>
    <d v="2025-01-16T00:00:00"/>
    <x v="2"/>
    <x v="3"/>
    <x v="0"/>
    <x v="0"/>
    <x v="11"/>
    <x v="1"/>
    <x v="2"/>
    <x v="2"/>
  </r>
  <r>
    <x v="316"/>
    <x v="6"/>
    <x v="0"/>
    <n v="124.3"/>
    <n v="124.3"/>
    <x v="13"/>
    <d v="2025-01-15T00:00:00"/>
    <x v="0"/>
    <x v="2"/>
    <x v="1"/>
    <x v="0"/>
    <x v="21"/>
    <x v="3"/>
    <x v="2"/>
    <x v="0"/>
  </r>
  <r>
    <x v="317"/>
    <x v="8"/>
    <x v="13"/>
    <n v="35.9"/>
    <n v="215.39999999999998"/>
    <x v="13"/>
    <d v="2025-01-15T00:00:00"/>
    <x v="2"/>
    <x v="0"/>
    <x v="1"/>
    <x v="0"/>
    <x v="1"/>
    <x v="3"/>
    <x v="2"/>
    <x v="2"/>
  </r>
  <r>
    <x v="318"/>
    <x v="2"/>
    <x v="1"/>
    <n v="69.099999999999994"/>
    <n v="138.19999999999999"/>
    <x v="13"/>
    <d v="2025-01-17T00:00:00"/>
    <x v="2"/>
    <x v="0"/>
    <x v="2"/>
    <x v="0"/>
    <x v="22"/>
    <x v="2"/>
    <x v="2"/>
    <x v="2"/>
  </r>
  <r>
    <x v="319"/>
    <x v="7"/>
    <x v="0"/>
    <n v="58.4"/>
    <n v="58.4"/>
    <x v="13"/>
    <d v="2025-01-18T00:00:00"/>
    <x v="1"/>
    <x v="0"/>
    <x v="0"/>
    <x v="0"/>
    <x v="22"/>
    <x v="5"/>
    <x v="2"/>
    <x v="1"/>
  </r>
  <r>
    <x v="320"/>
    <x v="5"/>
    <x v="0"/>
    <n v="65.2"/>
    <n v="65.2"/>
    <x v="13"/>
    <d v="2025-01-16T00:00:00"/>
    <x v="3"/>
    <x v="4"/>
    <x v="4"/>
    <x v="0"/>
    <x v="3"/>
    <x v="1"/>
    <x v="2"/>
    <x v="3"/>
  </r>
  <r>
    <x v="321"/>
    <x v="8"/>
    <x v="14"/>
    <n v="32.700000000000003"/>
    <n v="555.90000000000009"/>
    <x v="13"/>
    <d v="2025-01-21T00:00:00"/>
    <x v="0"/>
    <x v="4"/>
    <x v="0"/>
    <x v="0"/>
    <x v="3"/>
    <x v="6"/>
    <x v="2"/>
    <x v="0"/>
  </r>
  <r>
    <x v="322"/>
    <x v="10"/>
    <x v="3"/>
    <n v="24.4"/>
    <n v="170.79999999999998"/>
    <x v="13"/>
    <d v="2025-01-15T00:00:00"/>
    <x v="2"/>
    <x v="0"/>
    <x v="0"/>
    <x v="0"/>
    <x v="3"/>
    <x v="3"/>
    <x v="2"/>
    <x v="2"/>
  </r>
  <r>
    <x v="323"/>
    <x v="14"/>
    <x v="1"/>
    <n v="50.4"/>
    <n v="100.8"/>
    <x v="13"/>
    <d v="2025-01-20T00:00:00"/>
    <x v="1"/>
    <x v="0"/>
    <x v="1"/>
    <x v="0"/>
    <x v="3"/>
    <x v="4"/>
    <x v="2"/>
    <x v="1"/>
  </r>
  <r>
    <x v="324"/>
    <x v="1"/>
    <x v="1"/>
    <n v="100"/>
    <n v="200"/>
    <x v="13"/>
    <d v="2025-01-15T00:00:00"/>
    <x v="2"/>
    <x v="0"/>
    <x v="0"/>
    <x v="0"/>
    <x v="3"/>
    <x v="3"/>
    <x v="2"/>
    <x v="2"/>
  </r>
  <r>
    <x v="325"/>
    <x v="10"/>
    <x v="2"/>
    <n v="43"/>
    <n v="129"/>
    <x v="14"/>
    <d v="2025-01-15T00:00:00"/>
    <x v="2"/>
    <x v="2"/>
    <x v="1"/>
    <x v="0"/>
    <x v="3"/>
    <x v="7"/>
    <x v="2"/>
    <x v="2"/>
  </r>
  <r>
    <x v="326"/>
    <x v="1"/>
    <x v="9"/>
    <n v="64.400000000000006"/>
    <n v="322"/>
    <x v="14"/>
    <d v="2025-01-17T00:00:00"/>
    <x v="1"/>
    <x v="2"/>
    <x v="1"/>
    <x v="0"/>
    <x v="3"/>
    <x v="1"/>
    <x v="2"/>
    <x v="1"/>
  </r>
  <r>
    <x v="327"/>
    <x v="18"/>
    <x v="1"/>
    <n v="57.4"/>
    <n v="114.8"/>
    <x v="14"/>
    <d v="2025-01-16T00:00:00"/>
    <x v="1"/>
    <x v="2"/>
    <x v="1"/>
    <x v="0"/>
    <x v="3"/>
    <x v="3"/>
    <x v="2"/>
    <x v="1"/>
  </r>
  <r>
    <x v="328"/>
    <x v="2"/>
    <x v="2"/>
    <n v="55.1"/>
    <n v="165.3"/>
    <x v="14"/>
    <d v="2025-01-18T00:00:00"/>
    <x v="2"/>
    <x v="1"/>
    <x v="0"/>
    <x v="0"/>
    <x v="3"/>
    <x v="2"/>
    <x v="2"/>
    <x v="2"/>
  </r>
  <r>
    <x v="329"/>
    <x v="7"/>
    <x v="12"/>
    <n v="45.4"/>
    <n v="181.6"/>
    <x v="14"/>
    <d v="2025-01-16T00:00:00"/>
    <x v="2"/>
    <x v="1"/>
    <x v="0"/>
    <x v="0"/>
    <x v="3"/>
    <x v="3"/>
    <x v="2"/>
    <x v="2"/>
  </r>
  <r>
    <x v="330"/>
    <x v="3"/>
    <x v="2"/>
    <n v="93.3"/>
    <n v="279.89999999999998"/>
    <x v="14"/>
    <d v="2025-01-16T00:00:00"/>
    <x v="2"/>
    <x v="0"/>
    <x v="0"/>
    <x v="0"/>
    <x v="40"/>
    <x v="3"/>
    <x v="2"/>
    <x v="2"/>
  </r>
  <r>
    <x v="331"/>
    <x v="2"/>
    <x v="10"/>
    <n v="158.19999999999999"/>
    <n v="3005.7999999999997"/>
    <x v="14"/>
    <d v="2025-01-16T00:00:00"/>
    <x v="2"/>
    <x v="1"/>
    <x v="2"/>
    <x v="0"/>
    <x v="16"/>
    <x v="3"/>
    <x v="2"/>
    <x v="2"/>
  </r>
  <r>
    <x v="332"/>
    <x v="2"/>
    <x v="1"/>
    <n v="74.900000000000006"/>
    <n v="149.80000000000001"/>
    <x v="14"/>
    <d v="2025-01-17T00:00:00"/>
    <x v="1"/>
    <x v="3"/>
    <x v="0"/>
    <x v="0"/>
    <x v="6"/>
    <x v="1"/>
    <x v="2"/>
    <x v="1"/>
  </r>
  <r>
    <x v="333"/>
    <x v="8"/>
    <x v="3"/>
    <n v="26"/>
    <n v="182"/>
    <x v="14"/>
    <d v="2025-01-18T00:00:00"/>
    <x v="2"/>
    <x v="1"/>
    <x v="0"/>
    <x v="0"/>
    <x v="8"/>
    <x v="2"/>
    <x v="2"/>
    <x v="2"/>
  </r>
  <r>
    <x v="334"/>
    <x v="9"/>
    <x v="13"/>
    <n v="37.5"/>
    <n v="225"/>
    <x v="14"/>
    <d v="2025-01-16T00:00:00"/>
    <x v="2"/>
    <x v="0"/>
    <x v="1"/>
    <x v="0"/>
    <x v="8"/>
    <x v="3"/>
    <x v="2"/>
    <x v="2"/>
  </r>
  <r>
    <x v="335"/>
    <x v="6"/>
    <x v="1"/>
    <n v="75.8"/>
    <n v="151.6"/>
    <x v="14"/>
    <d v="2025-01-21T00:00:00"/>
    <x v="1"/>
    <x v="0"/>
    <x v="0"/>
    <x v="0"/>
    <x v="8"/>
    <x v="4"/>
    <x v="2"/>
    <x v="1"/>
  </r>
  <r>
    <x v="336"/>
    <x v="7"/>
    <x v="0"/>
    <n v="48.5"/>
    <n v="48.5"/>
    <x v="14"/>
    <d v="2025-01-27T00:00:00"/>
    <x v="0"/>
    <x v="4"/>
    <x v="2"/>
    <x v="0"/>
    <x v="8"/>
    <x v="13"/>
    <x v="2"/>
    <x v="0"/>
  </r>
  <r>
    <x v="337"/>
    <x v="6"/>
    <x v="2"/>
    <n v="98.9"/>
    <n v="296.70000000000005"/>
    <x v="14"/>
    <d v="2025-01-17T00:00:00"/>
    <x v="2"/>
    <x v="4"/>
    <x v="1"/>
    <x v="0"/>
    <x v="8"/>
    <x v="1"/>
    <x v="2"/>
    <x v="2"/>
  </r>
  <r>
    <x v="338"/>
    <x v="1"/>
    <x v="4"/>
    <n v="50.9"/>
    <n v="610.79999999999995"/>
    <x v="14"/>
    <d v="2025-01-15T00:00:00"/>
    <x v="1"/>
    <x v="4"/>
    <x v="0"/>
    <x v="0"/>
    <x v="8"/>
    <x v="7"/>
    <x v="2"/>
    <x v="1"/>
  </r>
  <r>
    <x v="339"/>
    <x v="12"/>
    <x v="13"/>
    <n v="84.7"/>
    <n v="508.20000000000005"/>
    <x v="14"/>
    <d v="2025-01-15T00:00:00"/>
    <x v="2"/>
    <x v="2"/>
    <x v="0"/>
    <x v="0"/>
    <x v="8"/>
    <x v="7"/>
    <x v="2"/>
    <x v="2"/>
  </r>
  <r>
    <x v="340"/>
    <x v="8"/>
    <x v="0"/>
    <n v="20.7"/>
    <n v="20.7"/>
    <x v="14"/>
    <d v="2025-01-17T00:00:00"/>
    <x v="2"/>
    <x v="3"/>
    <x v="2"/>
    <x v="0"/>
    <x v="8"/>
    <x v="1"/>
    <x v="2"/>
    <x v="2"/>
  </r>
  <r>
    <x v="341"/>
    <x v="12"/>
    <x v="11"/>
    <n v="57.8"/>
    <n v="520.19999999999993"/>
    <x v="14"/>
    <d v="2025-01-26T00:00:00"/>
    <x v="1"/>
    <x v="0"/>
    <x v="4"/>
    <x v="0"/>
    <x v="17"/>
    <x v="11"/>
    <x v="2"/>
    <x v="1"/>
  </r>
  <r>
    <x v="342"/>
    <x v="2"/>
    <x v="1"/>
    <n v="106.9"/>
    <n v="213.8"/>
    <x v="14"/>
    <d v="2025-01-17T00:00:00"/>
    <x v="2"/>
    <x v="0"/>
    <x v="2"/>
    <x v="0"/>
    <x v="41"/>
    <x v="1"/>
    <x v="2"/>
    <x v="2"/>
  </r>
  <r>
    <x v="343"/>
    <x v="3"/>
    <x v="9"/>
    <n v="45.2"/>
    <n v="226"/>
    <x v="14"/>
    <d v="2025-01-19T00:00:00"/>
    <x v="2"/>
    <x v="1"/>
    <x v="0"/>
    <x v="0"/>
    <x v="21"/>
    <x v="5"/>
    <x v="2"/>
    <x v="2"/>
  </r>
  <r>
    <x v="344"/>
    <x v="8"/>
    <x v="15"/>
    <n v="34.6"/>
    <n v="449.8"/>
    <x v="14"/>
    <d v="2025-01-15T00:00:00"/>
    <x v="2"/>
    <x v="1"/>
    <x v="1"/>
    <x v="0"/>
    <x v="21"/>
    <x v="7"/>
    <x v="2"/>
    <x v="2"/>
  </r>
  <r>
    <x v="345"/>
    <x v="15"/>
    <x v="0"/>
    <n v="43.8"/>
    <n v="43.8"/>
    <x v="14"/>
    <d v="2025-01-17T00:00:00"/>
    <x v="0"/>
    <x v="0"/>
    <x v="2"/>
    <x v="0"/>
    <x v="21"/>
    <x v="1"/>
    <x v="2"/>
    <x v="0"/>
  </r>
  <r>
    <x v="346"/>
    <x v="15"/>
    <x v="0"/>
    <n v="20.399999999999999"/>
    <n v="20.399999999999999"/>
    <x v="14"/>
    <d v="2025-01-17T00:00:00"/>
    <x v="1"/>
    <x v="4"/>
    <x v="1"/>
    <x v="0"/>
    <x v="21"/>
    <x v="1"/>
    <x v="2"/>
    <x v="1"/>
  </r>
  <r>
    <x v="347"/>
    <x v="1"/>
    <x v="0"/>
    <n v="36.700000000000003"/>
    <n v="36.700000000000003"/>
    <x v="14"/>
    <d v="2025-01-16T00:00:00"/>
    <x v="1"/>
    <x v="0"/>
    <x v="1"/>
    <x v="0"/>
    <x v="1"/>
    <x v="3"/>
    <x v="2"/>
    <x v="1"/>
  </r>
  <r>
    <x v="348"/>
    <x v="8"/>
    <x v="2"/>
    <n v="27.2"/>
    <n v="81.599999999999994"/>
    <x v="14"/>
    <d v="2025-01-19T00:00:00"/>
    <x v="1"/>
    <x v="0"/>
    <x v="2"/>
    <x v="0"/>
    <x v="1"/>
    <x v="5"/>
    <x v="2"/>
    <x v="1"/>
  </r>
  <r>
    <x v="349"/>
    <x v="6"/>
    <x v="0"/>
    <n v="58.2"/>
    <n v="58.2"/>
    <x v="14"/>
    <d v="2025-01-16T00:00:00"/>
    <x v="2"/>
    <x v="0"/>
    <x v="2"/>
    <x v="0"/>
    <x v="42"/>
    <x v="3"/>
    <x v="2"/>
    <x v="2"/>
  </r>
  <r>
    <x v="350"/>
    <x v="8"/>
    <x v="2"/>
    <n v="25.6"/>
    <n v="76.800000000000011"/>
    <x v="14"/>
    <d v="2025-01-16T00:00:00"/>
    <x v="1"/>
    <x v="4"/>
    <x v="4"/>
    <x v="0"/>
    <x v="2"/>
    <x v="3"/>
    <x v="2"/>
    <x v="1"/>
  </r>
  <r>
    <x v="351"/>
    <x v="10"/>
    <x v="0"/>
    <n v="21.2"/>
    <n v="21.2"/>
    <x v="14"/>
    <d v="2025-01-15T00:00:00"/>
    <x v="2"/>
    <x v="1"/>
    <x v="2"/>
    <x v="0"/>
    <x v="3"/>
    <x v="7"/>
    <x v="2"/>
    <x v="2"/>
  </r>
  <r>
    <x v="352"/>
    <x v="6"/>
    <x v="1"/>
    <n v="48.2"/>
    <n v="96.4"/>
    <x v="14"/>
    <d v="2025-01-23T00:00:00"/>
    <x v="2"/>
    <x v="0"/>
    <x v="2"/>
    <x v="0"/>
    <x v="3"/>
    <x v="9"/>
    <x v="2"/>
    <x v="2"/>
  </r>
  <r>
    <x v="353"/>
    <x v="1"/>
    <x v="12"/>
    <n v="83.4"/>
    <n v="333.6"/>
    <x v="15"/>
    <d v="2025-01-17T00:00:00"/>
    <x v="1"/>
    <x v="0"/>
    <x v="0"/>
    <x v="0"/>
    <x v="3"/>
    <x v="3"/>
    <x v="2"/>
    <x v="1"/>
  </r>
  <r>
    <x v="354"/>
    <x v="9"/>
    <x v="2"/>
    <n v="45.3"/>
    <n v="135.89999999999998"/>
    <x v="15"/>
    <d v="2025-01-22T00:00:00"/>
    <x v="1"/>
    <x v="2"/>
    <x v="1"/>
    <x v="0"/>
    <x v="3"/>
    <x v="4"/>
    <x v="2"/>
    <x v="1"/>
  </r>
  <r>
    <x v="355"/>
    <x v="17"/>
    <x v="0"/>
    <n v="42"/>
    <n v="42"/>
    <x v="15"/>
    <d v="2025-01-17T00:00:00"/>
    <x v="0"/>
    <x v="0"/>
    <x v="0"/>
    <x v="0"/>
    <x v="3"/>
    <x v="3"/>
    <x v="2"/>
    <x v="0"/>
  </r>
  <r>
    <x v="356"/>
    <x v="0"/>
    <x v="11"/>
    <n v="21.8"/>
    <n v="196.20000000000002"/>
    <x v="15"/>
    <d v="2025-01-18T00:00:00"/>
    <x v="2"/>
    <x v="1"/>
    <x v="0"/>
    <x v="0"/>
    <x v="3"/>
    <x v="1"/>
    <x v="2"/>
    <x v="2"/>
  </r>
  <r>
    <x v="357"/>
    <x v="8"/>
    <x v="16"/>
    <n v="21.4"/>
    <n v="385.2"/>
    <x v="15"/>
    <d v="2025-01-19T00:00:00"/>
    <x v="2"/>
    <x v="1"/>
    <x v="2"/>
    <x v="0"/>
    <x v="3"/>
    <x v="2"/>
    <x v="2"/>
    <x v="2"/>
  </r>
  <r>
    <x v="358"/>
    <x v="10"/>
    <x v="2"/>
    <n v="45"/>
    <n v="135"/>
    <x v="15"/>
    <d v="2025-01-16T00:00:00"/>
    <x v="2"/>
    <x v="1"/>
    <x v="2"/>
    <x v="0"/>
    <x v="3"/>
    <x v="7"/>
    <x v="2"/>
    <x v="2"/>
  </r>
  <r>
    <x v="359"/>
    <x v="14"/>
    <x v="0"/>
    <n v="39.6"/>
    <n v="39.6"/>
    <x v="15"/>
    <d v="2025-01-17T00:00:00"/>
    <x v="1"/>
    <x v="0"/>
    <x v="2"/>
    <x v="0"/>
    <x v="3"/>
    <x v="3"/>
    <x v="2"/>
    <x v="1"/>
  </r>
  <r>
    <x v="360"/>
    <x v="12"/>
    <x v="2"/>
    <n v="79.8"/>
    <n v="239.39999999999998"/>
    <x v="15"/>
    <d v="2025-01-22T00:00:00"/>
    <x v="2"/>
    <x v="1"/>
    <x v="4"/>
    <x v="0"/>
    <x v="3"/>
    <x v="4"/>
    <x v="2"/>
    <x v="2"/>
  </r>
  <r>
    <x v="361"/>
    <x v="1"/>
    <x v="12"/>
    <n v="63.6"/>
    <n v="254.4"/>
    <x v="15"/>
    <d v="2025-01-17T00:00:00"/>
    <x v="3"/>
    <x v="0"/>
    <x v="2"/>
    <x v="0"/>
    <x v="24"/>
    <x v="3"/>
    <x v="2"/>
    <x v="3"/>
  </r>
  <r>
    <x v="362"/>
    <x v="7"/>
    <x v="7"/>
    <n v="92.7"/>
    <n v="927"/>
    <x v="15"/>
    <d v="2025-01-20T00:00:00"/>
    <x v="1"/>
    <x v="1"/>
    <x v="2"/>
    <x v="0"/>
    <x v="6"/>
    <x v="5"/>
    <x v="2"/>
    <x v="1"/>
  </r>
  <r>
    <x v="363"/>
    <x v="1"/>
    <x v="12"/>
    <n v="48.4"/>
    <n v="193.6"/>
    <x v="15"/>
    <d v="2025-01-18T00:00:00"/>
    <x v="2"/>
    <x v="1"/>
    <x v="2"/>
    <x v="0"/>
    <x v="6"/>
    <x v="1"/>
    <x v="2"/>
    <x v="2"/>
  </r>
  <r>
    <x v="364"/>
    <x v="9"/>
    <x v="8"/>
    <n v="36"/>
    <n v="288"/>
    <x v="15"/>
    <d v="2025-01-19T00:00:00"/>
    <x v="1"/>
    <x v="2"/>
    <x v="2"/>
    <x v="0"/>
    <x v="8"/>
    <x v="2"/>
    <x v="2"/>
    <x v="1"/>
  </r>
  <r>
    <x v="365"/>
    <x v="8"/>
    <x v="4"/>
    <n v="27"/>
    <n v="324"/>
    <x v="15"/>
    <d v="2025-01-18T00:00:00"/>
    <x v="2"/>
    <x v="2"/>
    <x v="1"/>
    <x v="0"/>
    <x v="8"/>
    <x v="1"/>
    <x v="2"/>
    <x v="2"/>
  </r>
  <r>
    <x v="366"/>
    <x v="2"/>
    <x v="8"/>
    <n v="53.9"/>
    <n v="431.2"/>
    <x v="15"/>
    <d v="2025-01-17T00:00:00"/>
    <x v="0"/>
    <x v="0"/>
    <x v="0"/>
    <x v="0"/>
    <x v="8"/>
    <x v="3"/>
    <x v="2"/>
    <x v="0"/>
  </r>
  <r>
    <x v="367"/>
    <x v="3"/>
    <x v="11"/>
    <n v="48.4"/>
    <n v="435.59999999999997"/>
    <x v="15"/>
    <d v="2025-01-17T00:00:00"/>
    <x v="2"/>
    <x v="1"/>
    <x v="0"/>
    <x v="0"/>
    <x v="9"/>
    <x v="3"/>
    <x v="2"/>
    <x v="2"/>
  </r>
  <r>
    <x v="368"/>
    <x v="17"/>
    <x v="1"/>
    <n v="49.9"/>
    <n v="99.8"/>
    <x v="15"/>
    <d v="2025-01-21T00:00:00"/>
    <x v="1"/>
    <x v="4"/>
    <x v="4"/>
    <x v="0"/>
    <x v="10"/>
    <x v="0"/>
    <x v="2"/>
    <x v="1"/>
  </r>
  <r>
    <x v="369"/>
    <x v="1"/>
    <x v="2"/>
    <n v="51.7"/>
    <n v="155.10000000000002"/>
    <x v="15"/>
    <d v="2025-01-17T00:00:00"/>
    <x v="2"/>
    <x v="0"/>
    <x v="2"/>
    <x v="0"/>
    <x v="11"/>
    <x v="3"/>
    <x v="2"/>
    <x v="2"/>
  </r>
  <r>
    <x v="370"/>
    <x v="8"/>
    <x v="2"/>
    <n v="41.8"/>
    <n v="125.39999999999999"/>
    <x v="15"/>
    <d v="2025-01-18T00:00:00"/>
    <x v="2"/>
    <x v="2"/>
    <x v="0"/>
    <x v="0"/>
    <x v="18"/>
    <x v="1"/>
    <x v="2"/>
    <x v="2"/>
  </r>
  <r>
    <x v="371"/>
    <x v="4"/>
    <x v="12"/>
    <n v="36.200000000000003"/>
    <n v="144.80000000000001"/>
    <x v="16"/>
    <d v="2025-01-18T00:00:00"/>
    <x v="1"/>
    <x v="2"/>
    <x v="2"/>
    <x v="0"/>
    <x v="21"/>
    <x v="3"/>
    <x v="2"/>
    <x v="1"/>
  </r>
  <r>
    <x v="372"/>
    <x v="2"/>
    <x v="0"/>
    <n v="150.9"/>
    <n v="150.9"/>
    <x v="16"/>
    <d v="2025-01-27T00:00:00"/>
    <x v="1"/>
    <x v="0"/>
    <x v="0"/>
    <x v="0"/>
    <x v="1"/>
    <x v="14"/>
    <x v="2"/>
    <x v="1"/>
  </r>
  <r>
    <x v="373"/>
    <x v="18"/>
    <x v="12"/>
    <n v="77.599999999999994"/>
    <n v="310.39999999999998"/>
    <x v="16"/>
    <d v="2025-01-18T00:00:00"/>
    <x v="0"/>
    <x v="2"/>
    <x v="0"/>
    <x v="0"/>
    <x v="3"/>
    <x v="3"/>
    <x v="2"/>
    <x v="0"/>
  </r>
  <r>
    <x v="374"/>
    <x v="13"/>
    <x v="9"/>
    <n v="65.5"/>
    <n v="327.5"/>
    <x v="16"/>
    <d v="2025-01-17T00:00:00"/>
    <x v="1"/>
    <x v="1"/>
    <x v="0"/>
    <x v="0"/>
    <x v="3"/>
    <x v="7"/>
    <x v="2"/>
    <x v="1"/>
  </r>
  <r>
    <x v="375"/>
    <x v="6"/>
    <x v="2"/>
    <n v="90.1"/>
    <n v="270.29999999999995"/>
    <x v="16"/>
    <d v="2025-01-19T00:00:00"/>
    <x v="2"/>
    <x v="0"/>
    <x v="0"/>
    <x v="0"/>
    <x v="3"/>
    <x v="1"/>
    <x v="2"/>
    <x v="2"/>
  </r>
  <r>
    <x v="376"/>
    <x v="1"/>
    <x v="1"/>
    <n v="108.3"/>
    <n v="216.6"/>
    <x v="16"/>
    <d v="2025-01-20T00:00:00"/>
    <x v="3"/>
    <x v="4"/>
    <x v="0"/>
    <x v="0"/>
    <x v="3"/>
    <x v="2"/>
    <x v="2"/>
    <x v="3"/>
  </r>
  <r>
    <x v="377"/>
    <x v="5"/>
    <x v="2"/>
    <n v="59.9"/>
    <n v="179.7"/>
    <x v="16"/>
    <d v="2025-01-21T00:00:00"/>
    <x v="2"/>
    <x v="0"/>
    <x v="0"/>
    <x v="0"/>
    <x v="3"/>
    <x v="5"/>
    <x v="2"/>
    <x v="2"/>
  </r>
  <r>
    <x v="378"/>
    <x v="2"/>
    <x v="14"/>
    <n v="139"/>
    <n v="2363"/>
    <x v="16"/>
    <d v="2025-01-19T00:00:00"/>
    <x v="2"/>
    <x v="1"/>
    <x v="4"/>
    <x v="0"/>
    <x v="3"/>
    <x v="1"/>
    <x v="2"/>
    <x v="2"/>
  </r>
  <r>
    <x v="379"/>
    <x v="6"/>
    <x v="2"/>
    <n v="87.3"/>
    <n v="261.89999999999998"/>
    <x v="16"/>
    <d v="2025-01-18T00:00:00"/>
    <x v="2"/>
    <x v="0"/>
    <x v="0"/>
    <x v="0"/>
    <x v="3"/>
    <x v="3"/>
    <x v="2"/>
    <x v="2"/>
  </r>
  <r>
    <x v="380"/>
    <x v="11"/>
    <x v="12"/>
    <n v="42.3"/>
    <n v="169.2"/>
    <x v="16"/>
    <d v="2025-01-17T00:00:00"/>
    <x v="1"/>
    <x v="0"/>
    <x v="0"/>
    <x v="0"/>
    <x v="3"/>
    <x v="7"/>
    <x v="2"/>
    <x v="1"/>
  </r>
  <r>
    <x v="381"/>
    <x v="14"/>
    <x v="8"/>
    <n v="103.6"/>
    <n v="828.8"/>
    <x v="16"/>
    <d v="2025-01-18T00:00:00"/>
    <x v="3"/>
    <x v="0"/>
    <x v="1"/>
    <x v="0"/>
    <x v="3"/>
    <x v="3"/>
    <x v="2"/>
    <x v="3"/>
  </r>
  <r>
    <x v="382"/>
    <x v="6"/>
    <x v="1"/>
    <n v="90.9"/>
    <n v="181.8"/>
    <x v="16"/>
    <d v="2025-01-18T00:00:00"/>
    <x v="1"/>
    <x v="1"/>
    <x v="0"/>
    <x v="0"/>
    <x v="6"/>
    <x v="3"/>
    <x v="2"/>
    <x v="1"/>
  </r>
  <r>
    <x v="383"/>
    <x v="9"/>
    <x v="27"/>
    <n v="100.9"/>
    <n v="1614.4"/>
    <x v="16"/>
    <d v="2025-01-18T00:00:00"/>
    <x v="2"/>
    <x v="1"/>
    <x v="0"/>
    <x v="0"/>
    <x v="6"/>
    <x v="3"/>
    <x v="2"/>
    <x v="2"/>
  </r>
  <r>
    <x v="384"/>
    <x v="4"/>
    <x v="9"/>
    <n v="36"/>
    <n v="180"/>
    <x v="16"/>
    <d v="2025-01-19T00:00:00"/>
    <x v="2"/>
    <x v="1"/>
    <x v="0"/>
    <x v="0"/>
    <x v="7"/>
    <x v="1"/>
    <x v="2"/>
    <x v="2"/>
  </r>
  <r>
    <x v="385"/>
    <x v="6"/>
    <x v="13"/>
    <n v="83.3"/>
    <n v="499.79999999999995"/>
    <x v="16"/>
    <d v="2025-01-20T00:00:00"/>
    <x v="0"/>
    <x v="2"/>
    <x v="0"/>
    <x v="0"/>
    <x v="7"/>
    <x v="2"/>
    <x v="2"/>
    <x v="0"/>
  </r>
  <r>
    <x v="386"/>
    <x v="2"/>
    <x v="14"/>
    <n v="60.3"/>
    <n v="1025.0999999999999"/>
    <x v="16"/>
    <d v="2025-01-18T00:00:00"/>
    <x v="1"/>
    <x v="2"/>
    <x v="1"/>
    <x v="0"/>
    <x v="7"/>
    <x v="3"/>
    <x v="2"/>
    <x v="1"/>
  </r>
  <r>
    <x v="387"/>
    <x v="2"/>
    <x v="13"/>
    <n v="120.3"/>
    <n v="721.8"/>
    <x v="16"/>
    <d v="2025-01-18T00:00:00"/>
    <x v="1"/>
    <x v="2"/>
    <x v="0"/>
    <x v="0"/>
    <x v="8"/>
    <x v="3"/>
    <x v="2"/>
    <x v="1"/>
  </r>
  <r>
    <x v="388"/>
    <x v="4"/>
    <x v="7"/>
    <n v="34"/>
    <n v="340"/>
    <x v="16"/>
    <d v="2025-01-21T00:00:00"/>
    <x v="2"/>
    <x v="2"/>
    <x v="0"/>
    <x v="0"/>
    <x v="8"/>
    <x v="5"/>
    <x v="2"/>
    <x v="2"/>
  </r>
  <r>
    <x v="389"/>
    <x v="10"/>
    <x v="9"/>
    <n v="42.6"/>
    <n v="213"/>
    <x v="16"/>
    <d v="2025-01-20T00:00:00"/>
    <x v="1"/>
    <x v="1"/>
    <x v="0"/>
    <x v="0"/>
    <x v="8"/>
    <x v="2"/>
    <x v="2"/>
    <x v="1"/>
  </r>
  <r>
    <x v="390"/>
    <x v="5"/>
    <x v="28"/>
    <n v="47.4"/>
    <n v="948"/>
    <x v="16"/>
    <d v="2025-01-17T00:00:00"/>
    <x v="2"/>
    <x v="2"/>
    <x v="1"/>
    <x v="0"/>
    <x v="17"/>
    <x v="7"/>
    <x v="2"/>
    <x v="2"/>
  </r>
  <r>
    <x v="391"/>
    <x v="2"/>
    <x v="0"/>
    <n v="74"/>
    <n v="74"/>
    <x v="17"/>
    <d v="2025-01-19T00:00:00"/>
    <x v="1"/>
    <x v="1"/>
    <x v="0"/>
    <x v="0"/>
    <x v="11"/>
    <x v="3"/>
    <x v="2"/>
    <x v="1"/>
  </r>
  <r>
    <x v="392"/>
    <x v="2"/>
    <x v="9"/>
    <n v="60.4"/>
    <n v="302"/>
    <x v="17"/>
    <d v="2025-01-21T00:00:00"/>
    <x v="2"/>
    <x v="1"/>
    <x v="4"/>
    <x v="0"/>
    <x v="18"/>
    <x v="2"/>
    <x v="2"/>
    <x v="2"/>
  </r>
  <r>
    <x v="393"/>
    <x v="12"/>
    <x v="1"/>
    <n v="69.3"/>
    <n v="138.6"/>
    <x v="17"/>
    <d v="2025-01-21T00:00:00"/>
    <x v="1"/>
    <x v="1"/>
    <x v="1"/>
    <x v="0"/>
    <x v="13"/>
    <x v="2"/>
    <x v="2"/>
    <x v="1"/>
  </r>
  <r>
    <x v="394"/>
    <x v="5"/>
    <x v="9"/>
    <n v="81"/>
    <n v="405"/>
    <x v="17"/>
    <d v="2025-01-24T00:00:00"/>
    <x v="1"/>
    <x v="3"/>
    <x v="0"/>
    <x v="0"/>
    <x v="21"/>
    <x v="4"/>
    <x v="2"/>
    <x v="1"/>
  </r>
  <r>
    <x v="395"/>
    <x v="15"/>
    <x v="2"/>
    <n v="41.5"/>
    <n v="124.5"/>
    <x v="17"/>
    <d v="2025-01-20T00:00:00"/>
    <x v="3"/>
    <x v="1"/>
    <x v="0"/>
    <x v="0"/>
    <x v="21"/>
    <x v="1"/>
    <x v="2"/>
    <x v="3"/>
  </r>
  <r>
    <x v="396"/>
    <x v="18"/>
    <x v="1"/>
    <n v="69.7"/>
    <n v="139.4"/>
    <x v="17"/>
    <d v="2025-01-23T00:00:00"/>
    <x v="1"/>
    <x v="1"/>
    <x v="0"/>
    <x v="0"/>
    <x v="21"/>
    <x v="0"/>
    <x v="2"/>
    <x v="1"/>
  </r>
  <r>
    <x v="397"/>
    <x v="2"/>
    <x v="9"/>
    <n v="83.6"/>
    <n v="418"/>
    <x v="17"/>
    <d v="2025-01-18T00:00:00"/>
    <x v="2"/>
    <x v="4"/>
    <x v="0"/>
    <x v="0"/>
    <x v="1"/>
    <x v="7"/>
    <x v="2"/>
    <x v="2"/>
  </r>
  <r>
    <x v="398"/>
    <x v="8"/>
    <x v="3"/>
    <n v="21.5"/>
    <n v="150.5"/>
    <x v="17"/>
    <d v="2025-01-20T00:00:00"/>
    <x v="1"/>
    <x v="1"/>
    <x v="4"/>
    <x v="0"/>
    <x v="34"/>
    <x v="1"/>
    <x v="2"/>
    <x v="1"/>
  </r>
  <r>
    <x v="399"/>
    <x v="8"/>
    <x v="8"/>
    <n v="28.6"/>
    <n v="228.8"/>
    <x v="17"/>
    <d v="2025-01-19T00:00:00"/>
    <x v="1"/>
    <x v="0"/>
    <x v="0"/>
    <x v="0"/>
    <x v="3"/>
    <x v="3"/>
    <x v="2"/>
    <x v="1"/>
  </r>
  <r>
    <x v="400"/>
    <x v="8"/>
    <x v="13"/>
    <n v="18.8"/>
    <n v="112.80000000000001"/>
    <x v="17"/>
    <d v="2025-01-21T00:00:00"/>
    <x v="1"/>
    <x v="3"/>
    <x v="2"/>
    <x v="0"/>
    <x v="3"/>
    <x v="2"/>
    <x v="2"/>
    <x v="1"/>
  </r>
  <r>
    <x v="401"/>
    <x v="10"/>
    <x v="12"/>
    <n v="35.1"/>
    <n v="140.4"/>
    <x v="17"/>
    <d v="2025-01-18T00:00:00"/>
    <x v="2"/>
    <x v="1"/>
    <x v="1"/>
    <x v="0"/>
    <x v="3"/>
    <x v="7"/>
    <x v="2"/>
    <x v="2"/>
  </r>
  <r>
    <x v="402"/>
    <x v="0"/>
    <x v="1"/>
    <n v="12.7"/>
    <n v="25.4"/>
    <x v="17"/>
    <d v="2025-01-20T00:00:00"/>
    <x v="2"/>
    <x v="1"/>
    <x v="2"/>
    <x v="0"/>
    <x v="3"/>
    <x v="1"/>
    <x v="2"/>
    <x v="2"/>
  </r>
  <r>
    <x v="403"/>
    <x v="8"/>
    <x v="9"/>
    <n v="27.4"/>
    <n v="137"/>
    <x v="17"/>
    <d v="2025-01-20T00:00:00"/>
    <x v="3"/>
    <x v="0"/>
    <x v="0"/>
    <x v="0"/>
    <x v="3"/>
    <x v="1"/>
    <x v="2"/>
    <x v="3"/>
  </r>
  <r>
    <x v="404"/>
    <x v="10"/>
    <x v="1"/>
    <n v="61.3"/>
    <n v="122.6"/>
    <x v="17"/>
    <d v="2025-01-19T00:00:00"/>
    <x v="2"/>
    <x v="1"/>
    <x v="0"/>
    <x v="0"/>
    <x v="6"/>
    <x v="3"/>
    <x v="2"/>
    <x v="2"/>
  </r>
  <r>
    <x v="405"/>
    <x v="8"/>
    <x v="1"/>
    <n v="64.7"/>
    <n v="129.4"/>
    <x v="17"/>
    <d v="2025-01-20T00:00:00"/>
    <x v="2"/>
    <x v="3"/>
    <x v="2"/>
    <x v="0"/>
    <x v="6"/>
    <x v="1"/>
    <x v="2"/>
    <x v="2"/>
  </r>
  <r>
    <x v="406"/>
    <x v="7"/>
    <x v="12"/>
    <n v="91.4"/>
    <n v="365.6"/>
    <x v="17"/>
    <d v="2025-01-20T00:00:00"/>
    <x v="2"/>
    <x v="0"/>
    <x v="0"/>
    <x v="0"/>
    <x v="8"/>
    <x v="1"/>
    <x v="2"/>
    <x v="2"/>
  </r>
  <r>
    <x v="407"/>
    <x v="0"/>
    <x v="1"/>
    <n v="33.1"/>
    <n v="66.2"/>
    <x v="18"/>
    <d v="2025-01-20T00:00:00"/>
    <x v="1"/>
    <x v="0"/>
    <x v="2"/>
    <x v="0"/>
    <x v="8"/>
    <x v="3"/>
    <x v="3"/>
    <x v="1"/>
  </r>
  <r>
    <x v="408"/>
    <x v="3"/>
    <x v="1"/>
    <n v="105.6"/>
    <n v="211.2"/>
    <x v="18"/>
    <d v="2025-01-20T00:00:00"/>
    <x v="1"/>
    <x v="2"/>
    <x v="1"/>
    <x v="0"/>
    <x v="8"/>
    <x v="3"/>
    <x v="3"/>
    <x v="1"/>
  </r>
  <r>
    <x v="409"/>
    <x v="10"/>
    <x v="2"/>
    <n v="46.4"/>
    <n v="139.19999999999999"/>
    <x v="18"/>
    <d v="2025-01-20T00:00:00"/>
    <x v="1"/>
    <x v="2"/>
    <x v="0"/>
    <x v="0"/>
    <x v="9"/>
    <x v="3"/>
    <x v="3"/>
    <x v="1"/>
  </r>
  <r>
    <x v="410"/>
    <x v="9"/>
    <x v="21"/>
    <n v="35.299999999999997"/>
    <n v="494.19999999999993"/>
    <x v="18"/>
    <d v="2025-01-22T00:00:00"/>
    <x v="2"/>
    <x v="4"/>
    <x v="1"/>
    <x v="0"/>
    <x v="11"/>
    <x v="2"/>
    <x v="3"/>
    <x v="2"/>
  </r>
  <r>
    <x v="411"/>
    <x v="0"/>
    <x v="1"/>
    <n v="16.100000000000001"/>
    <n v="32.200000000000003"/>
    <x v="18"/>
    <d v="2025-01-21T00:00:00"/>
    <x v="1"/>
    <x v="3"/>
    <x v="2"/>
    <x v="0"/>
    <x v="32"/>
    <x v="1"/>
    <x v="3"/>
    <x v="1"/>
  </r>
  <r>
    <x v="412"/>
    <x v="4"/>
    <x v="1"/>
    <n v="27.9"/>
    <n v="55.8"/>
    <x v="18"/>
    <d v="2025-01-22T00:00:00"/>
    <x v="1"/>
    <x v="0"/>
    <x v="0"/>
    <x v="0"/>
    <x v="13"/>
    <x v="2"/>
    <x v="3"/>
    <x v="1"/>
  </r>
  <r>
    <x v="413"/>
    <x v="8"/>
    <x v="0"/>
    <n v="47.1"/>
    <n v="47.1"/>
    <x v="18"/>
    <d v="2025-01-27T00:00:00"/>
    <x v="2"/>
    <x v="1"/>
    <x v="0"/>
    <x v="0"/>
    <x v="2"/>
    <x v="9"/>
    <x v="3"/>
    <x v="2"/>
  </r>
  <r>
    <x v="414"/>
    <x v="6"/>
    <x v="1"/>
    <n v="85"/>
    <n v="170"/>
    <x v="18"/>
    <d v="2025-01-22T00:00:00"/>
    <x v="0"/>
    <x v="2"/>
    <x v="2"/>
    <x v="0"/>
    <x v="22"/>
    <x v="2"/>
    <x v="3"/>
    <x v="0"/>
  </r>
  <r>
    <x v="415"/>
    <x v="18"/>
    <x v="1"/>
    <n v="89"/>
    <n v="178"/>
    <x v="18"/>
    <d v="2025-01-21T00:00:00"/>
    <x v="2"/>
    <x v="0"/>
    <x v="0"/>
    <x v="0"/>
    <x v="3"/>
    <x v="1"/>
    <x v="3"/>
    <x v="2"/>
  </r>
  <r>
    <x v="416"/>
    <x v="16"/>
    <x v="2"/>
    <n v="36.6"/>
    <n v="109.80000000000001"/>
    <x v="18"/>
    <d v="2025-01-20T00:00:00"/>
    <x v="3"/>
    <x v="3"/>
    <x v="2"/>
    <x v="0"/>
    <x v="3"/>
    <x v="3"/>
    <x v="3"/>
    <x v="3"/>
  </r>
  <r>
    <x v="417"/>
    <x v="6"/>
    <x v="3"/>
    <n v="43.5"/>
    <n v="304.5"/>
    <x v="18"/>
    <d v="2025-01-20T00:00:00"/>
    <x v="1"/>
    <x v="1"/>
    <x v="2"/>
    <x v="0"/>
    <x v="3"/>
    <x v="3"/>
    <x v="3"/>
    <x v="1"/>
  </r>
  <r>
    <x v="418"/>
    <x v="9"/>
    <x v="10"/>
    <n v="30.5"/>
    <n v="579.5"/>
    <x v="18"/>
    <d v="2025-01-19T00:00:00"/>
    <x v="2"/>
    <x v="3"/>
    <x v="0"/>
    <x v="0"/>
    <x v="3"/>
    <x v="7"/>
    <x v="3"/>
    <x v="2"/>
  </r>
  <r>
    <x v="419"/>
    <x v="1"/>
    <x v="1"/>
    <n v="107.7"/>
    <n v="215.4"/>
    <x v="18"/>
    <d v="2025-01-23T00:00:00"/>
    <x v="1"/>
    <x v="3"/>
    <x v="4"/>
    <x v="0"/>
    <x v="3"/>
    <x v="5"/>
    <x v="3"/>
    <x v="1"/>
  </r>
  <r>
    <x v="420"/>
    <x v="17"/>
    <x v="18"/>
    <n v="57.1"/>
    <n v="1484.6000000000001"/>
    <x v="18"/>
    <d v="2025-01-20T00:00:00"/>
    <x v="1"/>
    <x v="1"/>
    <x v="0"/>
    <x v="0"/>
    <x v="3"/>
    <x v="3"/>
    <x v="3"/>
    <x v="1"/>
  </r>
  <r>
    <x v="421"/>
    <x v="2"/>
    <x v="7"/>
    <n v="111.7"/>
    <n v="1117"/>
    <x v="18"/>
    <d v="2025-01-20T00:00:00"/>
    <x v="2"/>
    <x v="4"/>
    <x v="2"/>
    <x v="0"/>
    <x v="3"/>
    <x v="3"/>
    <x v="3"/>
    <x v="2"/>
  </r>
  <r>
    <x v="422"/>
    <x v="18"/>
    <x v="3"/>
    <n v="44.3"/>
    <n v="310.09999999999997"/>
    <x v="18"/>
    <d v="2025-01-22T00:00:00"/>
    <x v="1"/>
    <x v="3"/>
    <x v="2"/>
    <x v="0"/>
    <x v="3"/>
    <x v="2"/>
    <x v="3"/>
    <x v="1"/>
  </r>
  <r>
    <x v="423"/>
    <x v="2"/>
    <x v="8"/>
    <n v="95.8"/>
    <n v="766.4"/>
    <x v="18"/>
    <d v="2025-01-25T00:00:00"/>
    <x v="3"/>
    <x v="0"/>
    <x v="0"/>
    <x v="0"/>
    <x v="3"/>
    <x v="4"/>
    <x v="3"/>
    <x v="3"/>
  </r>
  <r>
    <x v="424"/>
    <x v="10"/>
    <x v="3"/>
    <n v="22.6"/>
    <n v="158.20000000000002"/>
    <x v="18"/>
    <d v="2025-01-22T00:00:00"/>
    <x v="2"/>
    <x v="3"/>
    <x v="1"/>
    <x v="0"/>
    <x v="3"/>
    <x v="2"/>
    <x v="3"/>
    <x v="2"/>
  </r>
  <r>
    <x v="425"/>
    <x v="8"/>
    <x v="8"/>
    <n v="25.6"/>
    <n v="204.8"/>
    <x v="18"/>
    <d v="2025-01-21T00:00:00"/>
    <x v="2"/>
    <x v="4"/>
    <x v="0"/>
    <x v="0"/>
    <x v="3"/>
    <x v="1"/>
    <x v="3"/>
    <x v="2"/>
  </r>
  <r>
    <x v="426"/>
    <x v="6"/>
    <x v="27"/>
    <n v="54.3"/>
    <n v="868.8"/>
    <x v="18"/>
    <d v="2025-01-22T00:00:00"/>
    <x v="2"/>
    <x v="4"/>
    <x v="0"/>
    <x v="0"/>
    <x v="3"/>
    <x v="2"/>
    <x v="3"/>
    <x v="2"/>
  </r>
  <r>
    <x v="427"/>
    <x v="18"/>
    <x v="15"/>
    <n v="51.3"/>
    <n v="666.9"/>
    <x v="18"/>
    <d v="2025-01-21T00:00:00"/>
    <x v="1"/>
    <x v="0"/>
    <x v="2"/>
    <x v="0"/>
    <x v="3"/>
    <x v="1"/>
    <x v="3"/>
    <x v="1"/>
  </r>
  <r>
    <x v="428"/>
    <x v="0"/>
    <x v="8"/>
    <n v="25.6"/>
    <n v="204.8"/>
    <x v="18"/>
    <d v="2025-01-20T00:00:00"/>
    <x v="2"/>
    <x v="1"/>
    <x v="1"/>
    <x v="0"/>
    <x v="3"/>
    <x v="3"/>
    <x v="3"/>
    <x v="2"/>
  </r>
  <r>
    <x v="429"/>
    <x v="0"/>
    <x v="1"/>
    <n v="15.6"/>
    <n v="31.2"/>
    <x v="18"/>
    <d v="2025-01-20T00:00:00"/>
    <x v="2"/>
    <x v="2"/>
    <x v="2"/>
    <x v="0"/>
    <x v="3"/>
    <x v="3"/>
    <x v="3"/>
    <x v="2"/>
  </r>
  <r>
    <x v="430"/>
    <x v="8"/>
    <x v="2"/>
    <n v="30.3"/>
    <n v="90.9"/>
    <x v="18"/>
    <d v="2025-01-23T00:00:00"/>
    <x v="2"/>
    <x v="0"/>
    <x v="1"/>
    <x v="0"/>
    <x v="3"/>
    <x v="5"/>
    <x v="3"/>
    <x v="2"/>
  </r>
  <r>
    <x v="431"/>
    <x v="12"/>
    <x v="1"/>
    <n v="30.3"/>
    <n v="60.6"/>
    <x v="18"/>
    <d v="2025-01-24T00:00:00"/>
    <x v="2"/>
    <x v="0"/>
    <x v="2"/>
    <x v="0"/>
    <x v="37"/>
    <x v="0"/>
    <x v="3"/>
    <x v="2"/>
  </r>
  <r>
    <x v="432"/>
    <x v="10"/>
    <x v="2"/>
    <n v="53"/>
    <n v="159"/>
    <x v="18"/>
    <d v="2025-01-26T00:00:00"/>
    <x v="2"/>
    <x v="2"/>
    <x v="0"/>
    <x v="0"/>
    <x v="24"/>
    <x v="6"/>
    <x v="3"/>
    <x v="2"/>
  </r>
  <r>
    <x v="433"/>
    <x v="5"/>
    <x v="16"/>
    <n v="59.9"/>
    <n v="1078.2"/>
    <x v="18"/>
    <d v="2025-01-22T00:00:00"/>
    <x v="1"/>
    <x v="2"/>
    <x v="4"/>
    <x v="0"/>
    <x v="25"/>
    <x v="2"/>
    <x v="3"/>
    <x v="1"/>
  </r>
  <r>
    <x v="434"/>
    <x v="9"/>
    <x v="1"/>
    <n v="45.7"/>
    <n v="91.4"/>
    <x v="18"/>
    <d v="2025-01-20T00:00:00"/>
    <x v="2"/>
    <x v="1"/>
    <x v="2"/>
    <x v="0"/>
    <x v="6"/>
    <x v="3"/>
    <x v="3"/>
    <x v="2"/>
  </r>
  <r>
    <x v="435"/>
    <x v="8"/>
    <x v="12"/>
    <n v="46.1"/>
    <n v="184.4"/>
    <x v="18"/>
    <d v="2025-01-20T00:00:00"/>
    <x v="1"/>
    <x v="0"/>
    <x v="0"/>
    <x v="0"/>
    <x v="6"/>
    <x v="3"/>
    <x v="3"/>
    <x v="1"/>
  </r>
  <r>
    <x v="436"/>
    <x v="8"/>
    <x v="2"/>
    <n v="17.5"/>
    <n v="52.5"/>
    <x v="18"/>
    <d v="2025-01-20T00:00:00"/>
    <x v="2"/>
    <x v="0"/>
    <x v="2"/>
    <x v="0"/>
    <x v="8"/>
    <x v="3"/>
    <x v="3"/>
    <x v="2"/>
  </r>
  <r>
    <x v="437"/>
    <x v="10"/>
    <x v="2"/>
    <n v="36.5"/>
    <n v="109.5"/>
    <x v="18"/>
    <d v="2025-01-30T00:00:00"/>
    <x v="1"/>
    <x v="2"/>
    <x v="0"/>
    <x v="0"/>
    <x v="8"/>
    <x v="11"/>
    <x v="3"/>
    <x v="1"/>
  </r>
  <r>
    <x v="438"/>
    <x v="8"/>
    <x v="1"/>
    <n v="47.5"/>
    <n v="95"/>
    <x v="19"/>
    <d v="2025-01-22T00:00:00"/>
    <x v="2"/>
    <x v="1"/>
    <x v="0"/>
    <x v="0"/>
    <x v="8"/>
    <x v="1"/>
    <x v="3"/>
    <x v="2"/>
  </r>
  <r>
    <x v="439"/>
    <x v="6"/>
    <x v="9"/>
    <n v="45.6"/>
    <n v="228"/>
    <x v="19"/>
    <d v="2025-01-22T00:00:00"/>
    <x v="2"/>
    <x v="0"/>
    <x v="2"/>
    <x v="0"/>
    <x v="8"/>
    <x v="1"/>
    <x v="3"/>
    <x v="2"/>
  </r>
  <r>
    <x v="440"/>
    <x v="9"/>
    <x v="1"/>
    <n v="50.5"/>
    <n v="101"/>
    <x v="19"/>
    <d v="2025-01-22T00:00:00"/>
    <x v="1"/>
    <x v="0"/>
    <x v="1"/>
    <x v="0"/>
    <x v="17"/>
    <x v="1"/>
    <x v="3"/>
    <x v="1"/>
  </r>
  <r>
    <x v="441"/>
    <x v="2"/>
    <x v="7"/>
    <n v="99.8"/>
    <n v="998"/>
    <x v="19"/>
    <d v="2025-01-23T00:00:00"/>
    <x v="2"/>
    <x v="2"/>
    <x v="1"/>
    <x v="0"/>
    <x v="17"/>
    <x v="2"/>
    <x v="3"/>
    <x v="2"/>
  </r>
  <r>
    <x v="442"/>
    <x v="8"/>
    <x v="20"/>
    <n v="19.2"/>
    <n v="288"/>
    <x v="19"/>
    <d v="2025-01-22T00:00:00"/>
    <x v="3"/>
    <x v="4"/>
    <x v="1"/>
    <x v="0"/>
    <x v="26"/>
    <x v="1"/>
    <x v="3"/>
    <x v="3"/>
  </r>
  <r>
    <x v="443"/>
    <x v="17"/>
    <x v="2"/>
    <n v="22.6"/>
    <n v="67.800000000000011"/>
    <x v="19"/>
    <d v="2025-01-21T00:00:00"/>
    <x v="1"/>
    <x v="1"/>
    <x v="0"/>
    <x v="0"/>
    <x v="11"/>
    <x v="3"/>
    <x v="3"/>
    <x v="1"/>
  </r>
  <r>
    <x v="444"/>
    <x v="1"/>
    <x v="20"/>
    <n v="126.9"/>
    <n v="1903.5"/>
    <x v="19"/>
    <d v="2025-01-22T00:00:00"/>
    <x v="2"/>
    <x v="0"/>
    <x v="2"/>
    <x v="0"/>
    <x v="11"/>
    <x v="1"/>
    <x v="3"/>
    <x v="2"/>
  </r>
  <r>
    <x v="445"/>
    <x v="2"/>
    <x v="1"/>
    <n v="100.3"/>
    <n v="200.6"/>
    <x v="19"/>
    <d v="2025-01-21T00:00:00"/>
    <x v="2"/>
    <x v="0"/>
    <x v="1"/>
    <x v="0"/>
    <x v="11"/>
    <x v="3"/>
    <x v="3"/>
    <x v="2"/>
  </r>
  <r>
    <x v="446"/>
    <x v="4"/>
    <x v="16"/>
    <n v="24.6"/>
    <n v="442.8"/>
    <x v="19"/>
    <d v="2025-01-21T00:00:00"/>
    <x v="2"/>
    <x v="4"/>
    <x v="0"/>
    <x v="0"/>
    <x v="13"/>
    <x v="3"/>
    <x v="3"/>
    <x v="2"/>
  </r>
  <r>
    <x v="447"/>
    <x v="6"/>
    <x v="1"/>
    <n v="47.3"/>
    <n v="94.6"/>
    <x v="19"/>
    <d v="2025-01-21T00:00:00"/>
    <x v="1"/>
    <x v="1"/>
    <x v="2"/>
    <x v="0"/>
    <x v="13"/>
    <x v="3"/>
    <x v="3"/>
    <x v="1"/>
  </r>
  <r>
    <x v="448"/>
    <x v="6"/>
    <x v="3"/>
    <n v="40.799999999999997"/>
    <n v="285.59999999999997"/>
    <x v="19"/>
    <d v="2025-01-23T00:00:00"/>
    <x v="2"/>
    <x v="2"/>
    <x v="2"/>
    <x v="0"/>
    <x v="21"/>
    <x v="2"/>
    <x v="3"/>
    <x v="2"/>
  </r>
  <r>
    <x v="449"/>
    <x v="8"/>
    <x v="8"/>
    <n v="49.2"/>
    <n v="393.6"/>
    <x v="19"/>
    <d v="2025-01-22T00:00:00"/>
    <x v="2"/>
    <x v="0"/>
    <x v="0"/>
    <x v="0"/>
    <x v="1"/>
    <x v="1"/>
    <x v="3"/>
    <x v="2"/>
  </r>
  <r>
    <x v="450"/>
    <x v="8"/>
    <x v="0"/>
    <n v="28.5"/>
    <n v="28.5"/>
    <x v="19"/>
    <d v="2025-01-22T00:00:00"/>
    <x v="0"/>
    <x v="2"/>
    <x v="1"/>
    <x v="0"/>
    <x v="3"/>
    <x v="1"/>
    <x v="3"/>
    <x v="0"/>
  </r>
  <r>
    <x v="451"/>
    <x v="18"/>
    <x v="1"/>
    <n v="36.799999999999997"/>
    <n v="73.599999999999994"/>
    <x v="19"/>
    <d v="2025-01-26T00:00:00"/>
    <x v="2"/>
    <x v="0"/>
    <x v="2"/>
    <x v="0"/>
    <x v="3"/>
    <x v="4"/>
    <x v="3"/>
    <x v="2"/>
  </r>
  <r>
    <x v="452"/>
    <x v="7"/>
    <x v="2"/>
    <n v="33.5"/>
    <n v="100.5"/>
    <x v="19"/>
    <d v="2025-01-21T00:00:00"/>
    <x v="2"/>
    <x v="0"/>
    <x v="1"/>
    <x v="0"/>
    <x v="3"/>
    <x v="3"/>
    <x v="3"/>
    <x v="2"/>
  </r>
  <r>
    <x v="453"/>
    <x v="6"/>
    <x v="13"/>
    <n v="62.5"/>
    <n v="375"/>
    <x v="19"/>
    <d v="2025-01-22T00:00:00"/>
    <x v="2"/>
    <x v="0"/>
    <x v="0"/>
    <x v="0"/>
    <x v="3"/>
    <x v="1"/>
    <x v="3"/>
    <x v="2"/>
  </r>
  <r>
    <x v="454"/>
    <x v="8"/>
    <x v="29"/>
    <n v="47.9"/>
    <n v="1916"/>
    <x v="19"/>
    <d v="2025-01-21T00:00:00"/>
    <x v="2"/>
    <x v="3"/>
    <x v="0"/>
    <x v="0"/>
    <x v="3"/>
    <x v="3"/>
    <x v="3"/>
    <x v="2"/>
  </r>
  <r>
    <x v="455"/>
    <x v="6"/>
    <x v="13"/>
    <n v="92.9"/>
    <n v="557.40000000000009"/>
    <x v="19"/>
    <d v="2025-01-31T00:00:00"/>
    <x v="2"/>
    <x v="0"/>
    <x v="4"/>
    <x v="0"/>
    <x v="3"/>
    <x v="11"/>
    <x v="3"/>
    <x v="2"/>
  </r>
  <r>
    <x v="456"/>
    <x v="12"/>
    <x v="2"/>
    <n v="44.1"/>
    <n v="132.30000000000001"/>
    <x v="19"/>
    <d v="2025-01-20T00:00:00"/>
    <x v="2"/>
    <x v="1"/>
    <x v="1"/>
    <x v="0"/>
    <x v="43"/>
    <x v="7"/>
    <x v="3"/>
    <x v="2"/>
  </r>
  <r>
    <x v="457"/>
    <x v="0"/>
    <x v="0"/>
    <n v="11.4"/>
    <n v="11.4"/>
    <x v="20"/>
    <d v="2025-01-23T00:00:00"/>
    <x v="2"/>
    <x v="2"/>
    <x v="0"/>
    <x v="0"/>
    <x v="5"/>
    <x v="1"/>
    <x v="3"/>
    <x v="2"/>
  </r>
  <r>
    <x v="458"/>
    <x v="6"/>
    <x v="0"/>
    <n v="83.7"/>
    <n v="83.7"/>
    <x v="20"/>
    <d v="2025-01-23T00:00:00"/>
    <x v="2"/>
    <x v="0"/>
    <x v="2"/>
    <x v="0"/>
    <x v="6"/>
    <x v="1"/>
    <x v="3"/>
    <x v="2"/>
  </r>
  <r>
    <x v="459"/>
    <x v="10"/>
    <x v="1"/>
    <n v="23.2"/>
    <n v="46.4"/>
    <x v="20"/>
    <d v="2025-01-22T00:00:00"/>
    <x v="1"/>
    <x v="2"/>
    <x v="0"/>
    <x v="0"/>
    <x v="8"/>
    <x v="3"/>
    <x v="3"/>
    <x v="1"/>
  </r>
  <r>
    <x v="460"/>
    <x v="2"/>
    <x v="0"/>
    <n v="162.1"/>
    <n v="162.1"/>
    <x v="20"/>
    <d v="2025-01-24T00:00:00"/>
    <x v="2"/>
    <x v="0"/>
    <x v="2"/>
    <x v="0"/>
    <x v="9"/>
    <x v="2"/>
    <x v="3"/>
    <x v="2"/>
  </r>
  <r>
    <x v="461"/>
    <x v="6"/>
    <x v="12"/>
    <n v="49.2"/>
    <n v="196.8"/>
    <x v="20"/>
    <d v="2025-01-25T00:00:00"/>
    <x v="1"/>
    <x v="1"/>
    <x v="0"/>
    <x v="0"/>
    <x v="9"/>
    <x v="5"/>
    <x v="3"/>
    <x v="1"/>
  </r>
  <r>
    <x v="462"/>
    <x v="1"/>
    <x v="1"/>
    <n v="61"/>
    <n v="122"/>
    <x v="20"/>
    <d v="2025-01-22T00:00:00"/>
    <x v="1"/>
    <x v="3"/>
    <x v="0"/>
    <x v="0"/>
    <x v="10"/>
    <x v="3"/>
    <x v="3"/>
    <x v="1"/>
  </r>
  <r>
    <x v="463"/>
    <x v="2"/>
    <x v="7"/>
    <n v="53.1"/>
    <n v="531"/>
    <x v="20"/>
    <d v="2025-01-23T00:00:00"/>
    <x v="1"/>
    <x v="0"/>
    <x v="0"/>
    <x v="0"/>
    <x v="11"/>
    <x v="1"/>
    <x v="3"/>
    <x v="1"/>
  </r>
  <r>
    <x v="464"/>
    <x v="4"/>
    <x v="1"/>
    <n v="22.4"/>
    <n v="44.8"/>
    <x v="20"/>
    <d v="2025-01-23T00:00:00"/>
    <x v="0"/>
    <x v="1"/>
    <x v="2"/>
    <x v="0"/>
    <x v="13"/>
    <x v="1"/>
    <x v="3"/>
    <x v="0"/>
  </r>
  <r>
    <x v="465"/>
    <x v="1"/>
    <x v="9"/>
    <n v="75.3"/>
    <n v="376.5"/>
    <x v="20"/>
    <d v="2025-01-22T00:00:00"/>
    <x v="1"/>
    <x v="0"/>
    <x v="0"/>
    <x v="0"/>
    <x v="21"/>
    <x v="3"/>
    <x v="3"/>
    <x v="1"/>
  </r>
  <r>
    <x v="466"/>
    <x v="6"/>
    <x v="0"/>
    <n v="48.5"/>
    <n v="48.5"/>
    <x v="20"/>
    <d v="2025-01-22T00:00:00"/>
    <x v="2"/>
    <x v="0"/>
    <x v="1"/>
    <x v="0"/>
    <x v="21"/>
    <x v="3"/>
    <x v="3"/>
    <x v="2"/>
  </r>
  <r>
    <x v="467"/>
    <x v="6"/>
    <x v="0"/>
    <n v="42.6"/>
    <n v="42.6"/>
    <x v="20"/>
    <d v="2025-01-25T00:00:00"/>
    <x v="2"/>
    <x v="3"/>
    <x v="0"/>
    <x v="0"/>
    <x v="1"/>
    <x v="5"/>
    <x v="3"/>
    <x v="2"/>
  </r>
  <r>
    <x v="468"/>
    <x v="5"/>
    <x v="9"/>
    <n v="49"/>
    <n v="245"/>
    <x v="20"/>
    <d v="2025-01-22T00:00:00"/>
    <x v="1"/>
    <x v="0"/>
    <x v="0"/>
    <x v="0"/>
    <x v="22"/>
    <x v="3"/>
    <x v="3"/>
    <x v="1"/>
  </r>
  <r>
    <x v="469"/>
    <x v="8"/>
    <x v="2"/>
    <n v="31.3"/>
    <n v="93.9"/>
    <x v="20"/>
    <d v="2025-01-22T00:00:00"/>
    <x v="1"/>
    <x v="2"/>
    <x v="1"/>
    <x v="0"/>
    <x v="3"/>
    <x v="3"/>
    <x v="3"/>
    <x v="1"/>
  </r>
  <r>
    <x v="470"/>
    <x v="2"/>
    <x v="1"/>
    <n v="85.4"/>
    <n v="170.8"/>
    <x v="20"/>
    <d v="2025-01-22T00:00:00"/>
    <x v="2"/>
    <x v="2"/>
    <x v="0"/>
    <x v="0"/>
    <x v="3"/>
    <x v="3"/>
    <x v="3"/>
    <x v="2"/>
  </r>
  <r>
    <x v="471"/>
    <x v="8"/>
    <x v="12"/>
    <n v="40"/>
    <n v="160"/>
    <x v="20"/>
    <d v="2025-01-22T00:00:00"/>
    <x v="3"/>
    <x v="0"/>
    <x v="2"/>
    <x v="0"/>
    <x v="3"/>
    <x v="3"/>
    <x v="3"/>
    <x v="3"/>
  </r>
  <r>
    <x v="472"/>
    <x v="5"/>
    <x v="1"/>
    <n v="38.5"/>
    <n v="77"/>
    <x v="20"/>
    <d v="2025-01-24T00:00:00"/>
    <x v="1"/>
    <x v="1"/>
    <x v="2"/>
    <x v="0"/>
    <x v="3"/>
    <x v="2"/>
    <x v="3"/>
    <x v="1"/>
  </r>
  <r>
    <x v="473"/>
    <x v="2"/>
    <x v="1"/>
    <n v="57.8"/>
    <n v="115.6"/>
    <x v="20"/>
    <d v="2025-01-22T00:00:00"/>
    <x v="0"/>
    <x v="0"/>
    <x v="0"/>
    <x v="0"/>
    <x v="3"/>
    <x v="3"/>
    <x v="3"/>
    <x v="0"/>
  </r>
  <r>
    <x v="474"/>
    <x v="8"/>
    <x v="0"/>
    <n v="19.2"/>
    <n v="19.2"/>
    <x v="20"/>
    <d v="2025-01-22T00:00:00"/>
    <x v="2"/>
    <x v="0"/>
    <x v="4"/>
    <x v="0"/>
    <x v="3"/>
    <x v="3"/>
    <x v="3"/>
    <x v="2"/>
  </r>
  <r>
    <x v="475"/>
    <x v="6"/>
    <x v="13"/>
    <n v="114.8"/>
    <n v="688.8"/>
    <x v="20"/>
    <d v="2025-01-24T00:00:00"/>
    <x v="1"/>
    <x v="1"/>
    <x v="1"/>
    <x v="0"/>
    <x v="3"/>
    <x v="2"/>
    <x v="3"/>
    <x v="1"/>
  </r>
  <r>
    <x v="476"/>
    <x v="10"/>
    <x v="3"/>
    <n v="48.4"/>
    <n v="338.8"/>
    <x v="20"/>
    <d v="2025-01-24T00:00:00"/>
    <x v="2"/>
    <x v="3"/>
    <x v="1"/>
    <x v="0"/>
    <x v="3"/>
    <x v="2"/>
    <x v="3"/>
    <x v="2"/>
  </r>
  <r>
    <x v="477"/>
    <x v="9"/>
    <x v="9"/>
    <n v="73.2"/>
    <n v="366"/>
    <x v="20"/>
    <d v="2025-01-22T00:00:00"/>
    <x v="2"/>
    <x v="1"/>
    <x v="4"/>
    <x v="0"/>
    <x v="3"/>
    <x v="3"/>
    <x v="3"/>
    <x v="2"/>
  </r>
  <r>
    <x v="478"/>
    <x v="15"/>
    <x v="1"/>
    <n v="48.6"/>
    <n v="97.2"/>
    <x v="20"/>
    <d v="2025-01-25T00:00:00"/>
    <x v="2"/>
    <x v="3"/>
    <x v="0"/>
    <x v="0"/>
    <x v="3"/>
    <x v="5"/>
    <x v="3"/>
    <x v="2"/>
  </r>
  <r>
    <x v="479"/>
    <x v="0"/>
    <x v="13"/>
    <n v="48.7"/>
    <n v="292.20000000000005"/>
    <x v="20"/>
    <d v="2025-01-22T00:00:00"/>
    <x v="1"/>
    <x v="0"/>
    <x v="0"/>
    <x v="0"/>
    <x v="3"/>
    <x v="3"/>
    <x v="3"/>
    <x v="1"/>
  </r>
  <r>
    <x v="480"/>
    <x v="4"/>
    <x v="1"/>
    <n v="32.200000000000003"/>
    <n v="64.400000000000006"/>
    <x v="20"/>
    <d v="2025-01-24T00:00:00"/>
    <x v="1"/>
    <x v="2"/>
    <x v="2"/>
    <x v="0"/>
    <x v="3"/>
    <x v="2"/>
    <x v="3"/>
    <x v="1"/>
  </r>
  <r>
    <x v="481"/>
    <x v="15"/>
    <x v="8"/>
    <n v="25.8"/>
    <n v="206.4"/>
    <x v="20"/>
    <d v="2025-01-22T00:00:00"/>
    <x v="1"/>
    <x v="0"/>
    <x v="0"/>
    <x v="0"/>
    <x v="37"/>
    <x v="3"/>
    <x v="3"/>
    <x v="1"/>
  </r>
  <r>
    <x v="482"/>
    <x v="6"/>
    <x v="1"/>
    <n v="94.8"/>
    <n v="189.6"/>
    <x v="21"/>
    <d v="2025-01-25T00:00:00"/>
    <x v="2"/>
    <x v="1"/>
    <x v="1"/>
    <x v="0"/>
    <x v="25"/>
    <x v="2"/>
    <x v="3"/>
    <x v="2"/>
  </r>
  <r>
    <x v="483"/>
    <x v="15"/>
    <x v="30"/>
    <n v="56.8"/>
    <n v="1420"/>
    <x v="21"/>
    <d v="2025-01-25T00:00:00"/>
    <x v="1"/>
    <x v="0"/>
    <x v="0"/>
    <x v="0"/>
    <x v="25"/>
    <x v="2"/>
    <x v="3"/>
    <x v="1"/>
  </r>
  <r>
    <x v="484"/>
    <x v="8"/>
    <x v="27"/>
    <n v="18.3"/>
    <n v="292.8"/>
    <x v="21"/>
    <d v="2025-01-29T00:00:00"/>
    <x v="2"/>
    <x v="2"/>
    <x v="2"/>
    <x v="0"/>
    <x v="23"/>
    <x v="6"/>
    <x v="3"/>
    <x v="2"/>
  </r>
  <r>
    <x v="485"/>
    <x v="0"/>
    <x v="2"/>
    <n v="16.8"/>
    <n v="50.400000000000006"/>
    <x v="21"/>
    <d v="2025-01-27T00:00:00"/>
    <x v="2"/>
    <x v="2"/>
    <x v="2"/>
    <x v="0"/>
    <x v="8"/>
    <x v="0"/>
    <x v="3"/>
    <x v="2"/>
  </r>
  <r>
    <x v="486"/>
    <x v="5"/>
    <x v="5"/>
    <n v="35.799999999999997"/>
    <n v="393.79999999999995"/>
    <x v="21"/>
    <d v="2025-01-23T00:00:00"/>
    <x v="1"/>
    <x v="1"/>
    <x v="0"/>
    <x v="0"/>
    <x v="17"/>
    <x v="3"/>
    <x v="3"/>
    <x v="1"/>
  </r>
  <r>
    <x v="487"/>
    <x v="18"/>
    <x v="0"/>
    <n v="64.900000000000006"/>
    <n v="64.900000000000006"/>
    <x v="21"/>
    <d v="2025-01-23T00:00:00"/>
    <x v="1"/>
    <x v="0"/>
    <x v="1"/>
    <x v="0"/>
    <x v="17"/>
    <x v="3"/>
    <x v="3"/>
    <x v="1"/>
  </r>
  <r>
    <x v="488"/>
    <x v="18"/>
    <x v="0"/>
    <n v="28.5"/>
    <n v="28.5"/>
    <x v="21"/>
    <d v="2025-01-24T00:00:00"/>
    <x v="0"/>
    <x v="1"/>
    <x v="0"/>
    <x v="0"/>
    <x v="9"/>
    <x v="1"/>
    <x v="3"/>
    <x v="0"/>
  </r>
  <r>
    <x v="489"/>
    <x v="18"/>
    <x v="1"/>
    <n v="103.5"/>
    <n v="207"/>
    <x v="21"/>
    <d v="2025-01-24T00:00:00"/>
    <x v="2"/>
    <x v="1"/>
    <x v="0"/>
    <x v="0"/>
    <x v="10"/>
    <x v="1"/>
    <x v="3"/>
    <x v="2"/>
  </r>
  <r>
    <x v="490"/>
    <x v="4"/>
    <x v="1"/>
    <n v="41.2"/>
    <n v="82.4"/>
    <x v="21"/>
    <d v="2025-01-23T00:00:00"/>
    <x v="2"/>
    <x v="1"/>
    <x v="0"/>
    <x v="0"/>
    <x v="10"/>
    <x v="3"/>
    <x v="3"/>
    <x v="2"/>
  </r>
  <r>
    <x v="491"/>
    <x v="9"/>
    <x v="0"/>
    <n v="37.799999999999997"/>
    <n v="37.799999999999997"/>
    <x v="21"/>
    <d v="2025-01-24T00:00:00"/>
    <x v="2"/>
    <x v="3"/>
    <x v="3"/>
    <x v="0"/>
    <x v="11"/>
    <x v="1"/>
    <x v="3"/>
    <x v="2"/>
  </r>
  <r>
    <x v="492"/>
    <x v="8"/>
    <x v="1"/>
    <n v="42.6"/>
    <n v="85.2"/>
    <x v="21"/>
    <d v="2025-01-24T00:00:00"/>
    <x v="2"/>
    <x v="4"/>
    <x v="0"/>
    <x v="0"/>
    <x v="11"/>
    <x v="1"/>
    <x v="3"/>
    <x v="2"/>
  </r>
  <r>
    <x v="493"/>
    <x v="8"/>
    <x v="7"/>
    <n v="15.2"/>
    <n v="152"/>
    <x v="21"/>
    <d v="2025-01-24T00:00:00"/>
    <x v="2"/>
    <x v="2"/>
    <x v="0"/>
    <x v="0"/>
    <x v="11"/>
    <x v="1"/>
    <x v="3"/>
    <x v="2"/>
  </r>
  <r>
    <x v="494"/>
    <x v="7"/>
    <x v="12"/>
    <n v="83.4"/>
    <n v="333.6"/>
    <x v="21"/>
    <d v="2025-01-23T00:00:00"/>
    <x v="2"/>
    <x v="2"/>
    <x v="1"/>
    <x v="0"/>
    <x v="18"/>
    <x v="3"/>
    <x v="3"/>
    <x v="2"/>
  </r>
  <r>
    <x v="495"/>
    <x v="19"/>
    <x v="1"/>
    <n v="27.7"/>
    <n v="55.4"/>
    <x v="21"/>
    <d v="2025-01-23T00:00:00"/>
    <x v="2"/>
    <x v="0"/>
    <x v="1"/>
    <x v="0"/>
    <x v="13"/>
    <x v="3"/>
    <x v="3"/>
    <x v="2"/>
  </r>
  <r>
    <x v="496"/>
    <x v="10"/>
    <x v="4"/>
    <n v="20.8"/>
    <n v="249.60000000000002"/>
    <x v="21"/>
    <d v="2025-01-23T00:00:00"/>
    <x v="1"/>
    <x v="3"/>
    <x v="0"/>
    <x v="0"/>
    <x v="13"/>
    <x v="3"/>
    <x v="3"/>
    <x v="1"/>
  </r>
  <r>
    <x v="497"/>
    <x v="11"/>
    <x v="1"/>
    <n v="72.7"/>
    <n v="145.4"/>
    <x v="21"/>
    <d v="2025-01-26T00:00:00"/>
    <x v="2"/>
    <x v="4"/>
    <x v="2"/>
    <x v="0"/>
    <x v="44"/>
    <x v="5"/>
    <x v="3"/>
    <x v="2"/>
  </r>
  <r>
    <x v="498"/>
    <x v="10"/>
    <x v="12"/>
    <n v="38.6"/>
    <n v="154.4"/>
    <x v="21"/>
    <d v="2025-01-23T00:00:00"/>
    <x v="1"/>
    <x v="0"/>
    <x v="2"/>
    <x v="0"/>
    <x v="22"/>
    <x v="3"/>
    <x v="3"/>
    <x v="1"/>
  </r>
  <r>
    <x v="499"/>
    <x v="8"/>
    <x v="3"/>
    <n v="33.1"/>
    <n v="231.70000000000002"/>
    <x v="21"/>
    <d v="2025-01-23T00:00:00"/>
    <x v="3"/>
    <x v="4"/>
    <x v="3"/>
    <x v="0"/>
    <x v="3"/>
    <x v="3"/>
    <x v="3"/>
    <x v="3"/>
  </r>
  <r>
    <x v="500"/>
    <x v="10"/>
    <x v="1"/>
    <n v="30.5"/>
    <n v="61"/>
    <x v="21"/>
    <d v="2025-01-22T00:00:00"/>
    <x v="0"/>
    <x v="1"/>
    <x v="1"/>
    <x v="0"/>
    <x v="3"/>
    <x v="7"/>
    <x v="3"/>
    <x v="0"/>
  </r>
  <r>
    <x v="501"/>
    <x v="9"/>
    <x v="1"/>
    <n v="69.599999999999994"/>
    <n v="139.19999999999999"/>
    <x v="21"/>
    <d v="2025-01-23T00:00:00"/>
    <x v="1"/>
    <x v="0"/>
    <x v="1"/>
    <x v="0"/>
    <x v="3"/>
    <x v="3"/>
    <x v="3"/>
    <x v="1"/>
  </r>
  <r>
    <x v="502"/>
    <x v="11"/>
    <x v="0"/>
    <n v="42.4"/>
    <n v="42.4"/>
    <x v="21"/>
    <d v="2025-01-26T00:00:00"/>
    <x v="2"/>
    <x v="1"/>
    <x v="0"/>
    <x v="0"/>
    <x v="3"/>
    <x v="5"/>
    <x v="3"/>
    <x v="2"/>
  </r>
  <r>
    <x v="503"/>
    <x v="17"/>
    <x v="0"/>
    <n v="32.200000000000003"/>
    <n v="32.200000000000003"/>
    <x v="21"/>
    <d v="2025-01-25T00:00:00"/>
    <x v="2"/>
    <x v="2"/>
    <x v="1"/>
    <x v="0"/>
    <x v="3"/>
    <x v="2"/>
    <x v="3"/>
    <x v="2"/>
  </r>
  <r>
    <x v="504"/>
    <x v="6"/>
    <x v="1"/>
    <n v="41.5"/>
    <n v="83"/>
    <x v="21"/>
    <d v="2025-01-25T00:00:00"/>
    <x v="2"/>
    <x v="0"/>
    <x v="2"/>
    <x v="0"/>
    <x v="3"/>
    <x v="2"/>
    <x v="3"/>
    <x v="2"/>
  </r>
  <r>
    <x v="505"/>
    <x v="16"/>
    <x v="11"/>
    <n v="58.9"/>
    <n v="530.1"/>
    <x v="21"/>
    <d v="2025-01-26T00:00:00"/>
    <x v="2"/>
    <x v="3"/>
    <x v="0"/>
    <x v="0"/>
    <x v="3"/>
    <x v="5"/>
    <x v="3"/>
    <x v="2"/>
  </r>
  <r>
    <x v="506"/>
    <x v="2"/>
    <x v="0"/>
    <n v="57.1"/>
    <n v="57.1"/>
    <x v="21"/>
    <d v="2025-01-25T00:00:00"/>
    <x v="2"/>
    <x v="1"/>
    <x v="0"/>
    <x v="0"/>
    <x v="3"/>
    <x v="2"/>
    <x v="3"/>
    <x v="2"/>
  </r>
  <r>
    <x v="507"/>
    <x v="6"/>
    <x v="0"/>
    <n v="57.2"/>
    <n v="57.2"/>
    <x v="21"/>
    <d v="2025-01-24T00:00:00"/>
    <x v="1"/>
    <x v="1"/>
    <x v="0"/>
    <x v="0"/>
    <x v="3"/>
    <x v="1"/>
    <x v="3"/>
    <x v="1"/>
  </r>
  <r>
    <x v="508"/>
    <x v="8"/>
    <x v="1"/>
    <n v="35.1"/>
    <n v="70.2"/>
    <x v="21"/>
    <d v="2025-01-23T00:00:00"/>
    <x v="1"/>
    <x v="1"/>
    <x v="0"/>
    <x v="0"/>
    <x v="6"/>
    <x v="3"/>
    <x v="3"/>
    <x v="1"/>
  </r>
  <r>
    <x v="509"/>
    <x v="1"/>
    <x v="0"/>
    <n v="52.1"/>
    <n v="52.1"/>
    <x v="21"/>
    <d v="2025-01-24T00:00:00"/>
    <x v="2"/>
    <x v="4"/>
    <x v="1"/>
    <x v="0"/>
    <x v="8"/>
    <x v="1"/>
    <x v="3"/>
    <x v="2"/>
  </r>
  <r>
    <x v="510"/>
    <x v="13"/>
    <x v="2"/>
    <n v="59.8"/>
    <n v="179.39999999999998"/>
    <x v="21"/>
    <d v="2025-01-24T00:00:00"/>
    <x v="2"/>
    <x v="4"/>
    <x v="1"/>
    <x v="0"/>
    <x v="8"/>
    <x v="1"/>
    <x v="3"/>
    <x v="2"/>
  </r>
  <r>
    <x v="511"/>
    <x v="3"/>
    <x v="12"/>
    <n v="83.3"/>
    <n v="333.2"/>
    <x v="21"/>
    <d v="2025-01-22T00:00:00"/>
    <x v="0"/>
    <x v="2"/>
    <x v="0"/>
    <x v="0"/>
    <x v="8"/>
    <x v="7"/>
    <x v="3"/>
    <x v="0"/>
  </r>
  <r>
    <x v="512"/>
    <x v="15"/>
    <x v="4"/>
    <n v="41.3"/>
    <n v="495.59999999999997"/>
    <x v="21"/>
    <d v="2025-01-23T00:00:00"/>
    <x v="2"/>
    <x v="1"/>
    <x v="0"/>
    <x v="0"/>
    <x v="8"/>
    <x v="3"/>
    <x v="3"/>
    <x v="2"/>
  </r>
  <r>
    <x v="513"/>
    <x v="8"/>
    <x v="9"/>
    <n v="16"/>
    <n v="80"/>
    <x v="21"/>
    <d v="2025-01-24T00:00:00"/>
    <x v="1"/>
    <x v="4"/>
    <x v="1"/>
    <x v="0"/>
    <x v="9"/>
    <x v="1"/>
    <x v="3"/>
    <x v="1"/>
  </r>
  <r>
    <x v="514"/>
    <x v="10"/>
    <x v="1"/>
    <n v="20.8"/>
    <n v="41.6"/>
    <x v="22"/>
    <d v="2025-01-25T00:00:00"/>
    <x v="1"/>
    <x v="0"/>
    <x v="2"/>
    <x v="0"/>
    <x v="11"/>
    <x v="1"/>
    <x v="3"/>
    <x v="1"/>
  </r>
  <r>
    <x v="515"/>
    <x v="8"/>
    <x v="31"/>
    <n v="27.1"/>
    <n v="758.80000000000007"/>
    <x v="22"/>
    <d v="2025-01-24T00:00:00"/>
    <x v="0"/>
    <x v="3"/>
    <x v="2"/>
    <x v="0"/>
    <x v="11"/>
    <x v="3"/>
    <x v="3"/>
    <x v="0"/>
  </r>
  <r>
    <x v="516"/>
    <x v="10"/>
    <x v="1"/>
    <n v="38.9"/>
    <n v="77.8"/>
    <x v="22"/>
    <d v="2025-01-25T00:00:00"/>
    <x v="2"/>
    <x v="0"/>
    <x v="0"/>
    <x v="0"/>
    <x v="18"/>
    <x v="1"/>
    <x v="3"/>
    <x v="2"/>
  </r>
  <r>
    <x v="517"/>
    <x v="0"/>
    <x v="1"/>
    <n v="10.8"/>
    <n v="21.6"/>
    <x v="22"/>
    <d v="2025-01-26T00:00:00"/>
    <x v="2"/>
    <x v="1"/>
    <x v="2"/>
    <x v="0"/>
    <x v="45"/>
    <x v="2"/>
    <x v="3"/>
    <x v="2"/>
  </r>
  <r>
    <x v="518"/>
    <x v="4"/>
    <x v="15"/>
    <n v="48.4"/>
    <n v="629.19999999999993"/>
    <x v="22"/>
    <d v="2025-01-27T00:00:00"/>
    <x v="2"/>
    <x v="0"/>
    <x v="0"/>
    <x v="0"/>
    <x v="21"/>
    <x v="5"/>
    <x v="3"/>
    <x v="2"/>
  </r>
  <r>
    <x v="519"/>
    <x v="4"/>
    <x v="2"/>
    <n v="29.2"/>
    <n v="87.6"/>
    <x v="22"/>
    <d v="2025-01-26T00:00:00"/>
    <x v="2"/>
    <x v="1"/>
    <x v="1"/>
    <x v="0"/>
    <x v="2"/>
    <x v="2"/>
    <x v="3"/>
    <x v="2"/>
  </r>
  <r>
    <x v="520"/>
    <x v="4"/>
    <x v="1"/>
    <n v="25.1"/>
    <n v="50.2"/>
    <x v="22"/>
    <d v="2025-01-24T00:00:00"/>
    <x v="1"/>
    <x v="0"/>
    <x v="1"/>
    <x v="0"/>
    <x v="2"/>
    <x v="3"/>
    <x v="3"/>
    <x v="1"/>
  </r>
  <r>
    <x v="521"/>
    <x v="7"/>
    <x v="2"/>
    <n v="65.599999999999994"/>
    <n v="196.79999999999998"/>
    <x v="22"/>
    <d v="2025-01-23T00:00:00"/>
    <x v="2"/>
    <x v="2"/>
    <x v="1"/>
    <x v="0"/>
    <x v="3"/>
    <x v="7"/>
    <x v="3"/>
    <x v="2"/>
  </r>
  <r>
    <x v="522"/>
    <x v="2"/>
    <x v="1"/>
    <n v="57.3"/>
    <n v="114.6"/>
    <x v="22"/>
    <d v="2025-01-23T00:00:00"/>
    <x v="0"/>
    <x v="0"/>
    <x v="0"/>
    <x v="0"/>
    <x v="3"/>
    <x v="7"/>
    <x v="3"/>
    <x v="0"/>
  </r>
  <r>
    <x v="523"/>
    <x v="9"/>
    <x v="12"/>
    <n v="22.4"/>
    <n v="89.6"/>
    <x v="22"/>
    <d v="2025-01-24T00:00:00"/>
    <x v="2"/>
    <x v="2"/>
    <x v="2"/>
    <x v="0"/>
    <x v="3"/>
    <x v="3"/>
    <x v="3"/>
    <x v="2"/>
  </r>
  <r>
    <x v="524"/>
    <x v="12"/>
    <x v="11"/>
    <n v="45.7"/>
    <n v="411.3"/>
    <x v="22"/>
    <d v="2025-01-24T00:00:00"/>
    <x v="2"/>
    <x v="0"/>
    <x v="0"/>
    <x v="0"/>
    <x v="3"/>
    <x v="3"/>
    <x v="3"/>
    <x v="2"/>
  </r>
  <r>
    <x v="525"/>
    <x v="8"/>
    <x v="1"/>
    <n v="29.3"/>
    <n v="58.6"/>
    <x v="22"/>
    <d v="2025-01-24T00:00:00"/>
    <x v="1"/>
    <x v="1"/>
    <x v="0"/>
    <x v="0"/>
    <x v="3"/>
    <x v="3"/>
    <x v="3"/>
    <x v="1"/>
  </r>
  <r>
    <x v="526"/>
    <x v="18"/>
    <x v="32"/>
    <n v="74"/>
    <n v="1628"/>
    <x v="22"/>
    <d v="2025-01-24T00:00:00"/>
    <x v="1"/>
    <x v="0"/>
    <x v="2"/>
    <x v="0"/>
    <x v="3"/>
    <x v="3"/>
    <x v="3"/>
    <x v="1"/>
  </r>
  <r>
    <x v="527"/>
    <x v="14"/>
    <x v="1"/>
    <n v="39.200000000000003"/>
    <n v="78.400000000000006"/>
    <x v="22"/>
    <d v="2025-01-25T00:00:00"/>
    <x v="2"/>
    <x v="1"/>
    <x v="0"/>
    <x v="0"/>
    <x v="3"/>
    <x v="1"/>
    <x v="3"/>
    <x v="2"/>
  </r>
  <r>
    <x v="528"/>
    <x v="4"/>
    <x v="14"/>
    <n v="62.7"/>
    <n v="1065.9000000000001"/>
    <x v="22"/>
    <d v="2025-01-24T00:00:00"/>
    <x v="2"/>
    <x v="2"/>
    <x v="1"/>
    <x v="0"/>
    <x v="3"/>
    <x v="3"/>
    <x v="3"/>
    <x v="2"/>
  </r>
  <r>
    <x v="529"/>
    <x v="10"/>
    <x v="1"/>
    <n v="60.1"/>
    <n v="120.2"/>
    <x v="22"/>
    <d v="2025-01-24T00:00:00"/>
    <x v="2"/>
    <x v="3"/>
    <x v="0"/>
    <x v="0"/>
    <x v="3"/>
    <x v="3"/>
    <x v="3"/>
    <x v="2"/>
  </r>
  <r>
    <x v="530"/>
    <x v="0"/>
    <x v="12"/>
    <n v="11.2"/>
    <n v="44.8"/>
    <x v="22"/>
    <d v="2025-01-24T00:00:00"/>
    <x v="2"/>
    <x v="3"/>
    <x v="1"/>
    <x v="0"/>
    <x v="3"/>
    <x v="3"/>
    <x v="3"/>
    <x v="2"/>
  </r>
  <r>
    <x v="531"/>
    <x v="8"/>
    <x v="1"/>
    <n v="22.9"/>
    <n v="45.8"/>
    <x v="22"/>
    <d v="2025-01-24T00:00:00"/>
    <x v="2"/>
    <x v="0"/>
    <x v="0"/>
    <x v="0"/>
    <x v="6"/>
    <x v="3"/>
    <x v="3"/>
    <x v="2"/>
  </r>
  <r>
    <x v="532"/>
    <x v="1"/>
    <x v="1"/>
    <n v="37.6"/>
    <n v="75.2"/>
    <x v="22"/>
    <d v="2025-01-26T00:00:00"/>
    <x v="2"/>
    <x v="0"/>
    <x v="0"/>
    <x v="0"/>
    <x v="6"/>
    <x v="2"/>
    <x v="3"/>
    <x v="2"/>
  </r>
  <r>
    <x v="533"/>
    <x v="6"/>
    <x v="0"/>
    <n v="42.4"/>
    <n v="42.4"/>
    <x v="22"/>
    <d v="2025-01-24T00:00:00"/>
    <x v="2"/>
    <x v="3"/>
    <x v="2"/>
    <x v="0"/>
    <x v="6"/>
    <x v="3"/>
    <x v="3"/>
    <x v="2"/>
  </r>
  <r>
    <x v="534"/>
    <x v="8"/>
    <x v="1"/>
    <n v="19.600000000000001"/>
    <n v="39.200000000000003"/>
    <x v="22"/>
    <d v="2025-01-27T00:00:00"/>
    <x v="2"/>
    <x v="2"/>
    <x v="0"/>
    <x v="0"/>
    <x v="7"/>
    <x v="5"/>
    <x v="3"/>
    <x v="2"/>
  </r>
  <r>
    <x v="535"/>
    <x v="9"/>
    <x v="0"/>
    <n v="90.5"/>
    <n v="90.5"/>
    <x v="22"/>
    <d v="2025-01-26T00:00:00"/>
    <x v="2"/>
    <x v="2"/>
    <x v="0"/>
    <x v="0"/>
    <x v="7"/>
    <x v="2"/>
    <x v="3"/>
    <x v="2"/>
  </r>
  <r>
    <x v="536"/>
    <x v="16"/>
    <x v="5"/>
    <n v="33.9"/>
    <n v="372.9"/>
    <x v="22"/>
    <d v="2025-01-24T00:00:00"/>
    <x v="1"/>
    <x v="2"/>
    <x v="1"/>
    <x v="0"/>
    <x v="7"/>
    <x v="3"/>
    <x v="3"/>
    <x v="1"/>
  </r>
  <r>
    <x v="537"/>
    <x v="0"/>
    <x v="1"/>
    <n v="32.799999999999997"/>
    <n v="65.599999999999994"/>
    <x v="22"/>
    <d v="2025-01-25T00:00:00"/>
    <x v="2"/>
    <x v="4"/>
    <x v="4"/>
    <x v="0"/>
    <x v="8"/>
    <x v="1"/>
    <x v="3"/>
    <x v="2"/>
  </r>
  <r>
    <x v="538"/>
    <x v="15"/>
    <x v="0"/>
    <n v="49.9"/>
    <n v="49.9"/>
    <x v="22"/>
    <d v="2025-01-24T00:00:00"/>
    <x v="1"/>
    <x v="3"/>
    <x v="1"/>
    <x v="0"/>
    <x v="8"/>
    <x v="3"/>
    <x v="3"/>
    <x v="1"/>
  </r>
  <r>
    <x v="539"/>
    <x v="7"/>
    <x v="9"/>
    <n v="79.2"/>
    <n v="396"/>
    <x v="22"/>
    <d v="2025-01-24T00:00:00"/>
    <x v="2"/>
    <x v="4"/>
    <x v="0"/>
    <x v="0"/>
    <x v="8"/>
    <x v="3"/>
    <x v="3"/>
    <x v="2"/>
  </r>
  <r>
    <x v="540"/>
    <x v="8"/>
    <x v="27"/>
    <n v="19.5"/>
    <n v="312"/>
    <x v="22"/>
    <d v="2025-01-25T00:00:00"/>
    <x v="1"/>
    <x v="3"/>
    <x v="2"/>
    <x v="0"/>
    <x v="8"/>
    <x v="1"/>
    <x v="3"/>
    <x v="1"/>
  </r>
  <r>
    <x v="541"/>
    <x v="8"/>
    <x v="12"/>
    <n v="18"/>
    <n v="72"/>
    <x v="22"/>
    <d v="2025-01-24T00:00:00"/>
    <x v="1"/>
    <x v="1"/>
    <x v="0"/>
    <x v="0"/>
    <x v="10"/>
    <x v="3"/>
    <x v="3"/>
    <x v="1"/>
  </r>
  <r>
    <x v="542"/>
    <x v="9"/>
    <x v="2"/>
    <n v="45.9"/>
    <n v="137.69999999999999"/>
    <x v="22"/>
    <d v="2025-01-25T00:00:00"/>
    <x v="2"/>
    <x v="1"/>
    <x v="1"/>
    <x v="0"/>
    <x v="10"/>
    <x v="1"/>
    <x v="3"/>
    <x v="2"/>
  </r>
  <r>
    <x v="543"/>
    <x v="11"/>
    <x v="0"/>
    <n v="41.2"/>
    <n v="41.2"/>
    <x v="22"/>
    <d v="2025-01-25T00:00:00"/>
    <x v="2"/>
    <x v="1"/>
    <x v="2"/>
    <x v="0"/>
    <x v="11"/>
    <x v="1"/>
    <x v="3"/>
    <x v="2"/>
  </r>
  <r>
    <x v="544"/>
    <x v="2"/>
    <x v="7"/>
    <n v="167.2"/>
    <n v="1672"/>
    <x v="22"/>
    <d v="2025-01-25T00:00:00"/>
    <x v="2"/>
    <x v="2"/>
    <x v="2"/>
    <x v="0"/>
    <x v="32"/>
    <x v="1"/>
    <x v="3"/>
    <x v="2"/>
  </r>
  <r>
    <x v="545"/>
    <x v="6"/>
    <x v="17"/>
    <n v="74.5"/>
    <n v="2235"/>
    <x v="23"/>
    <d v="2025-01-27T00:00:00"/>
    <x v="2"/>
    <x v="1"/>
    <x v="2"/>
    <x v="0"/>
    <x v="38"/>
    <x v="2"/>
    <x v="3"/>
    <x v="2"/>
  </r>
  <r>
    <x v="546"/>
    <x v="7"/>
    <x v="12"/>
    <n v="39.299999999999997"/>
    <n v="157.19999999999999"/>
    <x v="23"/>
    <d v="2025-01-25T00:00:00"/>
    <x v="0"/>
    <x v="2"/>
    <x v="0"/>
    <x v="0"/>
    <x v="19"/>
    <x v="3"/>
    <x v="3"/>
    <x v="0"/>
  </r>
  <r>
    <x v="547"/>
    <x v="9"/>
    <x v="0"/>
    <n v="68.5"/>
    <n v="68.5"/>
    <x v="23"/>
    <d v="2025-01-27T00:00:00"/>
    <x v="1"/>
    <x v="1"/>
    <x v="2"/>
    <x v="0"/>
    <x v="12"/>
    <x v="2"/>
    <x v="3"/>
    <x v="1"/>
  </r>
  <r>
    <x v="548"/>
    <x v="0"/>
    <x v="2"/>
    <n v="22.5"/>
    <n v="67.5"/>
    <x v="23"/>
    <d v="2025-01-24T00:00:00"/>
    <x v="2"/>
    <x v="4"/>
    <x v="0"/>
    <x v="0"/>
    <x v="13"/>
    <x v="7"/>
    <x v="3"/>
    <x v="2"/>
  </r>
  <r>
    <x v="549"/>
    <x v="1"/>
    <x v="0"/>
    <n v="48"/>
    <n v="48"/>
    <x v="23"/>
    <d v="2025-01-25T00:00:00"/>
    <x v="3"/>
    <x v="4"/>
    <x v="1"/>
    <x v="0"/>
    <x v="46"/>
    <x v="3"/>
    <x v="3"/>
    <x v="3"/>
  </r>
  <r>
    <x v="550"/>
    <x v="6"/>
    <x v="0"/>
    <n v="94"/>
    <n v="94"/>
    <x v="23"/>
    <d v="2025-01-25T00:00:00"/>
    <x v="1"/>
    <x v="3"/>
    <x v="1"/>
    <x v="0"/>
    <x v="1"/>
    <x v="3"/>
    <x v="3"/>
    <x v="1"/>
  </r>
  <r>
    <x v="551"/>
    <x v="8"/>
    <x v="2"/>
    <n v="21.9"/>
    <n v="65.699999999999989"/>
    <x v="23"/>
    <d v="2025-01-25T00:00:00"/>
    <x v="2"/>
    <x v="0"/>
    <x v="0"/>
    <x v="0"/>
    <x v="44"/>
    <x v="3"/>
    <x v="3"/>
    <x v="2"/>
  </r>
  <r>
    <x v="552"/>
    <x v="6"/>
    <x v="3"/>
    <n v="64.900000000000006"/>
    <n v="454.30000000000007"/>
    <x v="23"/>
    <d v="2025-01-25T00:00:00"/>
    <x v="2"/>
    <x v="0"/>
    <x v="0"/>
    <x v="0"/>
    <x v="3"/>
    <x v="3"/>
    <x v="3"/>
    <x v="2"/>
  </r>
  <r>
    <x v="553"/>
    <x v="12"/>
    <x v="0"/>
    <n v="52.9"/>
    <n v="52.9"/>
    <x v="23"/>
    <d v="2025-01-24T00:00:00"/>
    <x v="2"/>
    <x v="1"/>
    <x v="1"/>
    <x v="0"/>
    <x v="3"/>
    <x v="7"/>
    <x v="3"/>
    <x v="2"/>
  </r>
  <r>
    <x v="554"/>
    <x v="8"/>
    <x v="2"/>
    <n v="25.5"/>
    <n v="76.5"/>
    <x v="23"/>
    <d v="2025-01-25T00:00:00"/>
    <x v="2"/>
    <x v="1"/>
    <x v="2"/>
    <x v="0"/>
    <x v="3"/>
    <x v="3"/>
    <x v="3"/>
    <x v="2"/>
  </r>
  <r>
    <x v="555"/>
    <x v="6"/>
    <x v="2"/>
    <n v="51.9"/>
    <n v="155.69999999999999"/>
    <x v="23"/>
    <d v="2025-01-25T00:00:00"/>
    <x v="2"/>
    <x v="3"/>
    <x v="0"/>
    <x v="0"/>
    <x v="3"/>
    <x v="3"/>
    <x v="3"/>
    <x v="2"/>
  </r>
  <r>
    <x v="556"/>
    <x v="5"/>
    <x v="0"/>
    <n v="46.3"/>
    <n v="46.3"/>
    <x v="23"/>
    <d v="2025-01-27T00:00:00"/>
    <x v="2"/>
    <x v="4"/>
    <x v="0"/>
    <x v="0"/>
    <x v="3"/>
    <x v="2"/>
    <x v="3"/>
    <x v="2"/>
  </r>
  <r>
    <x v="557"/>
    <x v="6"/>
    <x v="1"/>
    <n v="68.2"/>
    <n v="136.4"/>
    <x v="23"/>
    <d v="2025-01-26T00:00:00"/>
    <x v="2"/>
    <x v="3"/>
    <x v="0"/>
    <x v="0"/>
    <x v="3"/>
    <x v="1"/>
    <x v="3"/>
    <x v="2"/>
  </r>
  <r>
    <x v="558"/>
    <x v="1"/>
    <x v="0"/>
    <n v="40.299999999999997"/>
    <n v="40.299999999999997"/>
    <x v="23"/>
    <d v="2025-01-25T00:00:00"/>
    <x v="1"/>
    <x v="0"/>
    <x v="1"/>
    <x v="0"/>
    <x v="3"/>
    <x v="3"/>
    <x v="3"/>
    <x v="1"/>
  </r>
  <r>
    <x v="559"/>
    <x v="2"/>
    <x v="2"/>
    <n v="91.3"/>
    <n v="273.89999999999998"/>
    <x v="23"/>
    <d v="2025-01-29T00:00:00"/>
    <x v="1"/>
    <x v="0"/>
    <x v="2"/>
    <x v="0"/>
    <x v="6"/>
    <x v="0"/>
    <x v="3"/>
    <x v="1"/>
  </r>
  <r>
    <x v="560"/>
    <x v="0"/>
    <x v="2"/>
    <n v="11.9"/>
    <n v="35.700000000000003"/>
    <x v="23"/>
    <d v="2025-01-25T00:00:00"/>
    <x v="2"/>
    <x v="0"/>
    <x v="1"/>
    <x v="0"/>
    <x v="6"/>
    <x v="3"/>
    <x v="3"/>
    <x v="2"/>
  </r>
  <r>
    <x v="561"/>
    <x v="2"/>
    <x v="1"/>
    <n v="63.5"/>
    <n v="127"/>
    <x v="23"/>
    <d v="2025-01-26T00:00:00"/>
    <x v="1"/>
    <x v="1"/>
    <x v="0"/>
    <x v="0"/>
    <x v="6"/>
    <x v="1"/>
    <x v="3"/>
    <x v="1"/>
  </r>
  <r>
    <x v="562"/>
    <x v="4"/>
    <x v="1"/>
    <n v="27.1"/>
    <n v="54.2"/>
    <x v="23"/>
    <d v="2025-01-27T00:00:00"/>
    <x v="1"/>
    <x v="2"/>
    <x v="2"/>
    <x v="0"/>
    <x v="6"/>
    <x v="2"/>
    <x v="3"/>
    <x v="1"/>
  </r>
  <r>
    <x v="563"/>
    <x v="1"/>
    <x v="1"/>
    <n v="82.1"/>
    <n v="164.2"/>
    <x v="24"/>
    <d v="2025-01-28T00:00:00"/>
    <x v="1"/>
    <x v="1"/>
    <x v="1"/>
    <x v="0"/>
    <x v="7"/>
    <x v="2"/>
    <x v="3"/>
    <x v="1"/>
  </r>
  <r>
    <x v="564"/>
    <x v="3"/>
    <x v="9"/>
    <n v="42.9"/>
    <n v="214.5"/>
    <x v="24"/>
    <d v="2025-01-27T00:00:00"/>
    <x v="2"/>
    <x v="1"/>
    <x v="0"/>
    <x v="0"/>
    <x v="8"/>
    <x v="1"/>
    <x v="3"/>
    <x v="2"/>
  </r>
  <r>
    <x v="565"/>
    <x v="8"/>
    <x v="5"/>
    <n v="37.9"/>
    <n v="416.9"/>
    <x v="24"/>
    <d v="2025-02-01T00:00:00"/>
    <x v="1"/>
    <x v="0"/>
    <x v="0"/>
    <x v="0"/>
    <x v="8"/>
    <x v="6"/>
    <x v="3"/>
    <x v="1"/>
  </r>
  <r>
    <x v="566"/>
    <x v="0"/>
    <x v="0"/>
    <n v="22.4"/>
    <n v="22.4"/>
    <x v="24"/>
    <d v="2025-01-26T00:00:00"/>
    <x v="2"/>
    <x v="0"/>
    <x v="1"/>
    <x v="0"/>
    <x v="17"/>
    <x v="3"/>
    <x v="3"/>
    <x v="2"/>
  </r>
  <r>
    <x v="567"/>
    <x v="2"/>
    <x v="15"/>
    <n v="79.900000000000006"/>
    <n v="1038.7"/>
    <x v="24"/>
    <d v="2025-02-07T00:00:00"/>
    <x v="2"/>
    <x v="3"/>
    <x v="1"/>
    <x v="0"/>
    <x v="11"/>
    <x v="10"/>
    <x v="3"/>
    <x v="2"/>
  </r>
  <r>
    <x v="568"/>
    <x v="1"/>
    <x v="0"/>
    <n v="70.599999999999994"/>
    <n v="70.599999999999994"/>
    <x v="24"/>
    <d v="2025-01-28T00:00:00"/>
    <x v="2"/>
    <x v="0"/>
    <x v="1"/>
    <x v="0"/>
    <x v="11"/>
    <x v="2"/>
    <x v="3"/>
    <x v="2"/>
  </r>
  <r>
    <x v="569"/>
    <x v="6"/>
    <x v="0"/>
    <n v="49.5"/>
    <n v="49.5"/>
    <x v="24"/>
    <d v="2025-01-27T00:00:00"/>
    <x v="1"/>
    <x v="0"/>
    <x v="0"/>
    <x v="0"/>
    <x v="13"/>
    <x v="1"/>
    <x v="3"/>
    <x v="1"/>
  </r>
  <r>
    <x v="570"/>
    <x v="2"/>
    <x v="1"/>
    <n v="96.6"/>
    <n v="193.2"/>
    <x v="24"/>
    <d v="2025-01-27T00:00:00"/>
    <x v="1"/>
    <x v="0"/>
    <x v="0"/>
    <x v="0"/>
    <x v="21"/>
    <x v="1"/>
    <x v="3"/>
    <x v="1"/>
  </r>
  <r>
    <x v="571"/>
    <x v="6"/>
    <x v="1"/>
    <n v="52.8"/>
    <n v="105.6"/>
    <x v="24"/>
    <d v="2025-01-26T00:00:00"/>
    <x v="2"/>
    <x v="1"/>
    <x v="1"/>
    <x v="0"/>
    <x v="21"/>
    <x v="3"/>
    <x v="3"/>
    <x v="2"/>
  </r>
  <r>
    <x v="572"/>
    <x v="2"/>
    <x v="0"/>
    <n v="101.7"/>
    <n v="101.7"/>
    <x v="24"/>
    <d v="2025-01-26T00:00:00"/>
    <x v="1"/>
    <x v="0"/>
    <x v="0"/>
    <x v="0"/>
    <x v="1"/>
    <x v="3"/>
    <x v="3"/>
    <x v="1"/>
  </r>
  <r>
    <x v="573"/>
    <x v="4"/>
    <x v="9"/>
    <n v="26.9"/>
    <n v="134.5"/>
    <x v="24"/>
    <d v="2025-01-30T00:00:00"/>
    <x v="2"/>
    <x v="1"/>
    <x v="1"/>
    <x v="0"/>
    <x v="22"/>
    <x v="0"/>
    <x v="3"/>
    <x v="2"/>
  </r>
  <r>
    <x v="574"/>
    <x v="2"/>
    <x v="12"/>
    <n v="211"/>
    <n v="844"/>
    <x v="24"/>
    <d v="2025-01-25T00:00:00"/>
    <x v="2"/>
    <x v="1"/>
    <x v="1"/>
    <x v="0"/>
    <x v="3"/>
    <x v="7"/>
    <x v="3"/>
    <x v="2"/>
  </r>
  <r>
    <x v="575"/>
    <x v="0"/>
    <x v="12"/>
    <n v="21.1"/>
    <n v="84.4"/>
    <x v="24"/>
    <d v="2025-01-28T00:00:00"/>
    <x v="1"/>
    <x v="4"/>
    <x v="0"/>
    <x v="0"/>
    <x v="3"/>
    <x v="2"/>
    <x v="3"/>
    <x v="1"/>
  </r>
  <r>
    <x v="576"/>
    <x v="10"/>
    <x v="0"/>
    <n v="26.6"/>
    <n v="26.6"/>
    <x v="24"/>
    <d v="2025-01-27T00:00:00"/>
    <x v="1"/>
    <x v="0"/>
    <x v="4"/>
    <x v="0"/>
    <x v="3"/>
    <x v="1"/>
    <x v="3"/>
    <x v="1"/>
  </r>
  <r>
    <x v="577"/>
    <x v="12"/>
    <x v="12"/>
    <n v="51.2"/>
    <n v="204.8"/>
    <x v="24"/>
    <d v="2025-01-26T00:00:00"/>
    <x v="2"/>
    <x v="3"/>
    <x v="0"/>
    <x v="0"/>
    <x v="47"/>
    <x v="3"/>
    <x v="3"/>
    <x v="2"/>
  </r>
  <r>
    <x v="578"/>
    <x v="0"/>
    <x v="9"/>
    <n v="10.6"/>
    <n v="53"/>
    <x v="24"/>
    <d v="2025-01-29T00:00:00"/>
    <x v="2"/>
    <x v="0"/>
    <x v="0"/>
    <x v="0"/>
    <x v="8"/>
    <x v="5"/>
    <x v="3"/>
    <x v="2"/>
  </r>
  <r>
    <x v="579"/>
    <x v="6"/>
    <x v="2"/>
    <n v="43.4"/>
    <n v="130.19999999999999"/>
    <x v="24"/>
    <d v="2025-01-28T00:00:00"/>
    <x v="2"/>
    <x v="4"/>
    <x v="0"/>
    <x v="0"/>
    <x v="8"/>
    <x v="2"/>
    <x v="3"/>
    <x v="2"/>
  </r>
  <r>
    <x v="580"/>
    <x v="12"/>
    <x v="0"/>
    <n v="80"/>
    <n v="80"/>
    <x v="24"/>
    <d v="2025-01-25T00:00:00"/>
    <x v="2"/>
    <x v="0"/>
    <x v="2"/>
    <x v="0"/>
    <x v="8"/>
    <x v="7"/>
    <x v="3"/>
    <x v="2"/>
  </r>
  <r>
    <x v="581"/>
    <x v="10"/>
    <x v="12"/>
    <n v="64.7"/>
    <n v="258.8"/>
    <x v="24"/>
    <d v="2025-01-27T00:00:00"/>
    <x v="2"/>
    <x v="1"/>
    <x v="4"/>
    <x v="0"/>
    <x v="8"/>
    <x v="1"/>
    <x v="3"/>
    <x v="2"/>
  </r>
  <r>
    <x v="582"/>
    <x v="8"/>
    <x v="5"/>
    <n v="26.3"/>
    <n v="289.3"/>
    <x v="25"/>
    <d v="2025-01-26T00:00:00"/>
    <x v="2"/>
    <x v="4"/>
    <x v="1"/>
    <x v="0"/>
    <x v="26"/>
    <x v="7"/>
    <x v="4"/>
    <x v="2"/>
  </r>
  <r>
    <x v="583"/>
    <x v="10"/>
    <x v="0"/>
    <n v="28.5"/>
    <n v="28.5"/>
    <x v="25"/>
    <d v="2025-01-26T00:00:00"/>
    <x v="1"/>
    <x v="0"/>
    <x v="1"/>
    <x v="0"/>
    <x v="9"/>
    <x v="7"/>
    <x v="4"/>
    <x v="1"/>
  </r>
  <r>
    <x v="584"/>
    <x v="17"/>
    <x v="0"/>
    <n v="47.8"/>
    <n v="47.8"/>
    <x v="25"/>
    <d v="2025-01-28T00:00:00"/>
    <x v="2"/>
    <x v="0"/>
    <x v="1"/>
    <x v="0"/>
    <x v="9"/>
    <x v="1"/>
    <x v="4"/>
    <x v="2"/>
  </r>
  <r>
    <x v="585"/>
    <x v="10"/>
    <x v="2"/>
    <n v="42.8"/>
    <n v="128.39999999999998"/>
    <x v="25"/>
    <d v="2025-01-29T00:00:00"/>
    <x v="2"/>
    <x v="4"/>
    <x v="1"/>
    <x v="0"/>
    <x v="11"/>
    <x v="2"/>
    <x v="4"/>
    <x v="2"/>
  </r>
  <r>
    <x v="586"/>
    <x v="6"/>
    <x v="9"/>
    <n v="46.8"/>
    <n v="234"/>
    <x v="25"/>
    <d v="2025-01-31T00:00:00"/>
    <x v="2"/>
    <x v="1"/>
    <x v="2"/>
    <x v="0"/>
    <x v="11"/>
    <x v="0"/>
    <x v="4"/>
    <x v="2"/>
  </r>
  <r>
    <x v="587"/>
    <x v="1"/>
    <x v="7"/>
    <n v="64.099999999999994"/>
    <n v="641"/>
    <x v="25"/>
    <d v="2025-01-27T00:00:00"/>
    <x v="1"/>
    <x v="1"/>
    <x v="0"/>
    <x v="0"/>
    <x v="11"/>
    <x v="3"/>
    <x v="4"/>
    <x v="1"/>
  </r>
  <r>
    <x v="588"/>
    <x v="2"/>
    <x v="0"/>
    <n v="89.1"/>
    <n v="89.1"/>
    <x v="25"/>
    <d v="2025-01-27T00:00:00"/>
    <x v="2"/>
    <x v="0"/>
    <x v="1"/>
    <x v="0"/>
    <x v="20"/>
    <x v="3"/>
    <x v="4"/>
    <x v="2"/>
  </r>
  <r>
    <x v="589"/>
    <x v="2"/>
    <x v="2"/>
    <n v="83.1"/>
    <n v="249.29999999999998"/>
    <x v="25"/>
    <d v="2025-01-27T00:00:00"/>
    <x v="2"/>
    <x v="2"/>
    <x v="1"/>
    <x v="0"/>
    <x v="13"/>
    <x v="3"/>
    <x v="4"/>
    <x v="2"/>
  </r>
  <r>
    <x v="590"/>
    <x v="8"/>
    <x v="2"/>
    <n v="40.9"/>
    <n v="122.69999999999999"/>
    <x v="25"/>
    <d v="2025-01-27T00:00:00"/>
    <x v="1"/>
    <x v="0"/>
    <x v="0"/>
    <x v="0"/>
    <x v="1"/>
    <x v="3"/>
    <x v="4"/>
    <x v="1"/>
  </r>
  <r>
    <x v="591"/>
    <x v="2"/>
    <x v="1"/>
    <n v="125.7"/>
    <n v="251.4"/>
    <x v="25"/>
    <d v="2025-01-27T00:00:00"/>
    <x v="2"/>
    <x v="3"/>
    <x v="0"/>
    <x v="0"/>
    <x v="2"/>
    <x v="3"/>
    <x v="4"/>
    <x v="2"/>
  </r>
  <r>
    <x v="592"/>
    <x v="3"/>
    <x v="1"/>
    <n v="30.9"/>
    <n v="61.8"/>
    <x v="25"/>
    <d v="2025-01-26T00:00:00"/>
    <x v="2"/>
    <x v="2"/>
    <x v="2"/>
    <x v="0"/>
    <x v="22"/>
    <x v="7"/>
    <x v="4"/>
    <x v="2"/>
  </r>
  <r>
    <x v="593"/>
    <x v="8"/>
    <x v="1"/>
    <n v="18.3"/>
    <n v="36.6"/>
    <x v="25"/>
    <d v="2025-01-27T00:00:00"/>
    <x v="2"/>
    <x v="1"/>
    <x v="0"/>
    <x v="0"/>
    <x v="3"/>
    <x v="3"/>
    <x v="4"/>
    <x v="2"/>
  </r>
  <r>
    <x v="594"/>
    <x v="4"/>
    <x v="1"/>
    <n v="56.5"/>
    <n v="113"/>
    <x v="25"/>
    <d v="2025-01-30T00:00:00"/>
    <x v="1"/>
    <x v="2"/>
    <x v="2"/>
    <x v="0"/>
    <x v="3"/>
    <x v="5"/>
    <x v="4"/>
    <x v="1"/>
  </r>
  <r>
    <x v="595"/>
    <x v="10"/>
    <x v="3"/>
    <n v="29.9"/>
    <n v="209.29999999999998"/>
    <x v="25"/>
    <d v="2025-01-28T00:00:00"/>
    <x v="1"/>
    <x v="4"/>
    <x v="2"/>
    <x v="0"/>
    <x v="3"/>
    <x v="1"/>
    <x v="4"/>
    <x v="1"/>
  </r>
  <r>
    <x v="596"/>
    <x v="5"/>
    <x v="1"/>
    <n v="50.4"/>
    <n v="100.8"/>
    <x v="25"/>
    <d v="2025-01-27T00:00:00"/>
    <x v="2"/>
    <x v="2"/>
    <x v="0"/>
    <x v="0"/>
    <x v="3"/>
    <x v="3"/>
    <x v="4"/>
    <x v="2"/>
  </r>
  <r>
    <x v="597"/>
    <x v="2"/>
    <x v="0"/>
    <n v="85.8"/>
    <n v="85.8"/>
    <x v="25"/>
    <d v="2025-01-26T00:00:00"/>
    <x v="2"/>
    <x v="2"/>
    <x v="2"/>
    <x v="0"/>
    <x v="3"/>
    <x v="7"/>
    <x v="4"/>
    <x v="2"/>
  </r>
  <r>
    <x v="598"/>
    <x v="4"/>
    <x v="27"/>
    <n v="66.599999999999994"/>
    <n v="1065.5999999999999"/>
    <x v="25"/>
    <d v="2025-01-28T00:00:00"/>
    <x v="1"/>
    <x v="1"/>
    <x v="0"/>
    <x v="0"/>
    <x v="3"/>
    <x v="1"/>
    <x v="4"/>
    <x v="1"/>
  </r>
  <r>
    <x v="599"/>
    <x v="6"/>
    <x v="12"/>
    <n v="70.3"/>
    <n v="281.2"/>
    <x v="25"/>
    <d v="2025-01-27T00:00:00"/>
    <x v="2"/>
    <x v="0"/>
    <x v="1"/>
    <x v="0"/>
    <x v="3"/>
    <x v="3"/>
    <x v="4"/>
    <x v="2"/>
  </r>
  <r>
    <x v="600"/>
    <x v="8"/>
    <x v="12"/>
    <n v="31"/>
    <n v="124"/>
    <x v="25"/>
    <d v="2025-01-29T00:00:00"/>
    <x v="1"/>
    <x v="0"/>
    <x v="2"/>
    <x v="0"/>
    <x v="3"/>
    <x v="2"/>
    <x v="4"/>
    <x v="1"/>
  </r>
  <r>
    <x v="601"/>
    <x v="7"/>
    <x v="13"/>
    <n v="81.599999999999994"/>
    <n v="489.59999999999997"/>
    <x v="25"/>
    <d v="2025-01-27T00:00:00"/>
    <x v="2"/>
    <x v="1"/>
    <x v="1"/>
    <x v="0"/>
    <x v="37"/>
    <x v="3"/>
    <x v="4"/>
    <x v="2"/>
  </r>
  <r>
    <x v="602"/>
    <x v="1"/>
    <x v="30"/>
    <n v="58.3"/>
    <n v="1457.5"/>
    <x v="25"/>
    <d v="2025-01-27T00:00:00"/>
    <x v="2"/>
    <x v="0"/>
    <x v="0"/>
    <x v="0"/>
    <x v="16"/>
    <x v="3"/>
    <x v="4"/>
    <x v="2"/>
  </r>
  <r>
    <x v="603"/>
    <x v="1"/>
    <x v="12"/>
    <n v="35.1"/>
    <n v="140.4"/>
    <x v="25"/>
    <d v="2025-01-28T00:00:00"/>
    <x v="1"/>
    <x v="0"/>
    <x v="2"/>
    <x v="0"/>
    <x v="8"/>
    <x v="1"/>
    <x v="4"/>
    <x v="1"/>
  </r>
  <r>
    <x v="604"/>
    <x v="2"/>
    <x v="0"/>
    <n v="80.2"/>
    <n v="80.2"/>
    <x v="25"/>
    <d v="2025-01-27T00:00:00"/>
    <x v="1"/>
    <x v="3"/>
    <x v="2"/>
    <x v="0"/>
    <x v="8"/>
    <x v="3"/>
    <x v="4"/>
    <x v="1"/>
  </r>
  <r>
    <x v="605"/>
    <x v="14"/>
    <x v="2"/>
    <n v="39.200000000000003"/>
    <n v="117.60000000000001"/>
    <x v="25"/>
    <d v="2025-01-28T00:00:00"/>
    <x v="2"/>
    <x v="1"/>
    <x v="0"/>
    <x v="0"/>
    <x v="9"/>
    <x v="1"/>
    <x v="4"/>
    <x v="2"/>
  </r>
  <r>
    <x v="606"/>
    <x v="0"/>
    <x v="1"/>
    <n v="15.4"/>
    <n v="30.8"/>
    <x v="25"/>
    <d v="2025-01-26T00:00:00"/>
    <x v="2"/>
    <x v="3"/>
    <x v="0"/>
    <x v="0"/>
    <x v="48"/>
    <x v="7"/>
    <x v="4"/>
    <x v="2"/>
  </r>
  <r>
    <x v="607"/>
    <x v="3"/>
    <x v="2"/>
    <n v="65.400000000000006"/>
    <n v="196.20000000000002"/>
    <x v="25"/>
    <d v="2025-01-29T00:00:00"/>
    <x v="1"/>
    <x v="3"/>
    <x v="0"/>
    <x v="0"/>
    <x v="18"/>
    <x v="2"/>
    <x v="4"/>
    <x v="1"/>
  </r>
  <r>
    <x v="608"/>
    <x v="1"/>
    <x v="8"/>
    <n v="63.2"/>
    <n v="505.6"/>
    <x v="25"/>
    <d v="2025-01-28T00:00:00"/>
    <x v="2"/>
    <x v="1"/>
    <x v="0"/>
    <x v="0"/>
    <x v="19"/>
    <x v="1"/>
    <x v="4"/>
    <x v="2"/>
  </r>
  <r>
    <x v="609"/>
    <x v="1"/>
    <x v="13"/>
    <n v="35.700000000000003"/>
    <n v="214.20000000000002"/>
    <x v="25"/>
    <d v="2025-01-30T00:00:00"/>
    <x v="2"/>
    <x v="4"/>
    <x v="1"/>
    <x v="0"/>
    <x v="19"/>
    <x v="5"/>
    <x v="4"/>
    <x v="2"/>
  </r>
  <r>
    <x v="610"/>
    <x v="0"/>
    <x v="28"/>
    <n v="26.2"/>
    <n v="524"/>
    <x v="25"/>
    <d v="2025-01-27T00:00:00"/>
    <x v="2"/>
    <x v="3"/>
    <x v="0"/>
    <x v="0"/>
    <x v="21"/>
    <x v="3"/>
    <x v="4"/>
    <x v="2"/>
  </r>
  <r>
    <x v="611"/>
    <x v="7"/>
    <x v="1"/>
    <n v="31"/>
    <n v="62"/>
    <x v="25"/>
    <d v="2025-01-27T00:00:00"/>
    <x v="2"/>
    <x v="0"/>
    <x v="2"/>
    <x v="0"/>
    <x v="1"/>
    <x v="3"/>
    <x v="4"/>
    <x v="2"/>
  </r>
  <r>
    <x v="612"/>
    <x v="8"/>
    <x v="12"/>
    <n v="37.700000000000003"/>
    <n v="150.80000000000001"/>
    <x v="25"/>
    <d v="2025-01-27T00:00:00"/>
    <x v="2"/>
    <x v="1"/>
    <x v="0"/>
    <x v="0"/>
    <x v="22"/>
    <x v="3"/>
    <x v="4"/>
    <x v="2"/>
  </r>
  <r>
    <x v="613"/>
    <x v="10"/>
    <x v="33"/>
    <n v="43.6"/>
    <n v="1482.4"/>
    <x v="25"/>
    <d v="2025-01-28T00:00:00"/>
    <x v="2"/>
    <x v="4"/>
    <x v="1"/>
    <x v="0"/>
    <x v="3"/>
    <x v="1"/>
    <x v="4"/>
    <x v="2"/>
  </r>
  <r>
    <x v="614"/>
    <x v="9"/>
    <x v="12"/>
    <n v="26.5"/>
    <n v="106"/>
    <x v="25"/>
    <d v="2025-01-28T00:00:00"/>
    <x v="1"/>
    <x v="0"/>
    <x v="4"/>
    <x v="0"/>
    <x v="3"/>
    <x v="1"/>
    <x v="4"/>
    <x v="1"/>
  </r>
  <r>
    <x v="615"/>
    <x v="0"/>
    <x v="1"/>
    <n v="34.6"/>
    <n v="69.2"/>
    <x v="25"/>
    <d v="2025-01-27T00:00:00"/>
    <x v="1"/>
    <x v="4"/>
    <x v="1"/>
    <x v="0"/>
    <x v="3"/>
    <x v="3"/>
    <x v="4"/>
    <x v="1"/>
  </r>
  <r>
    <x v="616"/>
    <x v="8"/>
    <x v="1"/>
    <n v="58.2"/>
    <n v="116.4"/>
    <x v="25"/>
    <d v="2025-01-27T00:00:00"/>
    <x v="1"/>
    <x v="2"/>
    <x v="2"/>
    <x v="0"/>
    <x v="3"/>
    <x v="3"/>
    <x v="4"/>
    <x v="1"/>
  </r>
  <r>
    <x v="617"/>
    <x v="7"/>
    <x v="0"/>
    <n v="30.2"/>
    <n v="30.2"/>
    <x v="26"/>
    <d v="2025-01-28T00:00:00"/>
    <x v="2"/>
    <x v="2"/>
    <x v="1"/>
    <x v="0"/>
    <x v="3"/>
    <x v="3"/>
    <x v="4"/>
    <x v="2"/>
  </r>
  <r>
    <x v="618"/>
    <x v="1"/>
    <x v="7"/>
    <n v="53.2"/>
    <n v="532"/>
    <x v="26"/>
    <d v="2025-01-28T00:00:00"/>
    <x v="1"/>
    <x v="0"/>
    <x v="2"/>
    <x v="0"/>
    <x v="5"/>
    <x v="3"/>
    <x v="4"/>
    <x v="1"/>
  </r>
  <r>
    <x v="619"/>
    <x v="12"/>
    <x v="13"/>
    <n v="51.1"/>
    <n v="306.60000000000002"/>
    <x v="26"/>
    <d v="2025-01-27T00:00:00"/>
    <x v="1"/>
    <x v="1"/>
    <x v="2"/>
    <x v="0"/>
    <x v="5"/>
    <x v="7"/>
    <x v="4"/>
    <x v="1"/>
  </r>
  <r>
    <x v="620"/>
    <x v="1"/>
    <x v="0"/>
    <n v="105.4"/>
    <n v="105.4"/>
    <x v="26"/>
    <d v="2025-01-31T00:00:00"/>
    <x v="2"/>
    <x v="1"/>
    <x v="2"/>
    <x v="0"/>
    <x v="23"/>
    <x v="5"/>
    <x v="4"/>
    <x v="2"/>
  </r>
  <r>
    <x v="621"/>
    <x v="7"/>
    <x v="0"/>
    <n v="57.7"/>
    <n v="57.7"/>
    <x v="26"/>
    <d v="2025-01-27T00:00:00"/>
    <x v="1"/>
    <x v="0"/>
    <x v="4"/>
    <x v="0"/>
    <x v="8"/>
    <x v="7"/>
    <x v="4"/>
    <x v="1"/>
  </r>
  <r>
    <x v="622"/>
    <x v="15"/>
    <x v="1"/>
    <n v="72.400000000000006"/>
    <n v="144.80000000000001"/>
    <x v="26"/>
    <d v="2025-02-01T00:00:00"/>
    <x v="2"/>
    <x v="0"/>
    <x v="0"/>
    <x v="0"/>
    <x v="17"/>
    <x v="0"/>
    <x v="4"/>
    <x v="2"/>
  </r>
  <r>
    <x v="623"/>
    <x v="6"/>
    <x v="1"/>
    <n v="62.5"/>
    <n v="125"/>
    <x v="26"/>
    <d v="2025-01-28T00:00:00"/>
    <x v="0"/>
    <x v="0"/>
    <x v="2"/>
    <x v="0"/>
    <x v="11"/>
    <x v="3"/>
    <x v="4"/>
    <x v="0"/>
  </r>
  <r>
    <x v="624"/>
    <x v="0"/>
    <x v="32"/>
    <n v="11.6"/>
    <n v="255.2"/>
    <x v="26"/>
    <d v="2025-01-29T00:00:00"/>
    <x v="2"/>
    <x v="3"/>
    <x v="2"/>
    <x v="0"/>
    <x v="18"/>
    <x v="1"/>
    <x v="4"/>
    <x v="2"/>
  </r>
  <r>
    <x v="625"/>
    <x v="10"/>
    <x v="7"/>
    <n v="39.6"/>
    <n v="396"/>
    <x v="26"/>
    <d v="2025-01-29T00:00:00"/>
    <x v="2"/>
    <x v="2"/>
    <x v="2"/>
    <x v="0"/>
    <x v="18"/>
    <x v="1"/>
    <x v="4"/>
    <x v="2"/>
  </r>
  <r>
    <x v="626"/>
    <x v="8"/>
    <x v="1"/>
    <n v="40.1"/>
    <n v="80.2"/>
    <x v="26"/>
    <d v="2025-01-28T00:00:00"/>
    <x v="2"/>
    <x v="2"/>
    <x v="0"/>
    <x v="0"/>
    <x v="18"/>
    <x v="3"/>
    <x v="4"/>
    <x v="2"/>
  </r>
  <r>
    <x v="627"/>
    <x v="8"/>
    <x v="2"/>
    <n v="18.600000000000001"/>
    <n v="55.800000000000004"/>
    <x v="26"/>
    <d v="2025-01-28T00:00:00"/>
    <x v="2"/>
    <x v="2"/>
    <x v="0"/>
    <x v="0"/>
    <x v="21"/>
    <x v="3"/>
    <x v="4"/>
    <x v="2"/>
  </r>
  <r>
    <x v="628"/>
    <x v="4"/>
    <x v="0"/>
    <n v="58.8"/>
    <n v="58.8"/>
    <x v="26"/>
    <d v="2025-01-29T00:00:00"/>
    <x v="2"/>
    <x v="0"/>
    <x v="1"/>
    <x v="0"/>
    <x v="21"/>
    <x v="1"/>
    <x v="4"/>
    <x v="2"/>
  </r>
  <r>
    <x v="629"/>
    <x v="8"/>
    <x v="1"/>
    <n v="22.1"/>
    <n v="44.2"/>
    <x v="26"/>
    <d v="2025-01-30T00:00:00"/>
    <x v="1"/>
    <x v="1"/>
    <x v="2"/>
    <x v="0"/>
    <x v="21"/>
    <x v="2"/>
    <x v="4"/>
    <x v="1"/>
  </r>
  <r>
    <x v="630"/>
    <x v="2"/>
    <x v="0"/>
    <n v="114.9"/>
    <n v="114.9"/>
    <x v="27"/>
    <d v="2025-01-29T00:00:00"/>
    <x v="2"/>
    <x v="1"/>
    <x v="1"/>
    <x v="0"/>
    <x v="22"/>
    <x v="3"/>
    <x v="4"/>
    <x v="2"/>
  </r>
  <r>
    <x v="631"/>
    <x v="9"/>
    <x v="9"/>
    <n v="75.8"/>
    <n v="379"/>
    <x v="27"/>
    <d v="2025-01-29T00:00:00"/>
    <x v="1"/>
    <x v="0"/>
    <x v="2"/>
    <x v="0"/>
    <x v="3"/>
    <x v="3"/>
    <x v="4"/>
    <x v="1"/>
  </r>
  <r>
    <x v="632"/>
    <x v="14"/>
    <x v="9"/>
    <n v="20.6"/>
    <n v="103"/>
    <x v="27"/>
    <d v="2025-01-29T00:00:00"/>
    <x v="1"/>
    <x v="2"/>
    <x v="2"/>
    <x v="0"/>
    <x v="3"/>
    <x v="3"/>
    <x v="4"/>
    <x v="1"/>
  </r>
  <r>
    <x v="633"/>
    <x v="17"/>
    <x v="2"/>
    <n v="67.900000000000006"/>
    <n v="203.70000000000002"/>
    <x v="27"/>
    <d v="2025-01-29T00:00:00"/>
    <x v="2"/>
    <x v="1"/>
    <x v="1"/>
    <x v="0"/>
    <x v="3"/>
    <x v="3"/>
    <x v="4"/>
    <x v="2"/>
  </r>
  <r>
    <x v="634"/>
    <x v="0"/>
    <x v="9"/>
    <n v="27"/>
    <n v="135"/>
    <x v="27"/>
    <d v="2025-02-04T00:00:00"/>
    <x v="2"/>
    <x v="0"/>
    <x v="2"/>
    <x v="0"/>
    <x v="3"/>
    <x v="6"/>
    <x v="4"/>
    <x v="2"/>
  </r>
  <r>
    <x v="635"/>
    <x v="13"/>
    <x v="0"/>
    <n v="50.6"/>
    <n v="50.6"/>
    <x v="27"/>
    <d v="2025-01-28T00:00:00"/>
    <x v="1"/>
    <x v="0"/>
    <x v="1"/>
    <x v="0"/>
    <x v="3"/>
    <x v="7"/>
    <x v="4"/>
    <x v="1"/>
  </r>
  <r>
    <x v="636"/>
    <x v="4"/>
    <x v="9"/>
    <n v="22.1"/>
    <n v="110.5"/>
    <x v="27"/>
    <d v="2025-02-02T00:00:00"/>
    <x v="1"/>
    <x v="0"/>
    <x v="0"/>
    <x v="0"/>
    <x v="3"/>
    <x v="0"/>
    <x v="4"/>
    <x v="1"/>
  </r>
  <r>
    <x v="637"/>
    <x v="8"/>
    <x v="2"/>
    <n v="42.9"/>
    <n v="128.69999999999999"/>
    <x v="27"/>
    <d v="2025-01-30T00:00:00"/>
    <x v="2"/>
    <x v="0"/>
    <x v="0"/>
    <x v="0"/>
    <x v="3"/>
    <x v="1"/>
    <x v="4"/>
    <x v="2"/>
  </r>
  <r>
    <x v="638"/>
    <x v="1"/>
    <x v="5"/>
    <n v="62.4"/>
    <n v="686.4"/>
    <x v="27"/>
    <d v="2025-01-30T00:00:00"/>
    <x v="2"/>
    <x v="2"/>
    <x v="0"/>
    <x v="0"/>
    <x v="3"/>
    <x v="1"/>
    <x v="4"/>
    <x v="2"/>
  </r>
  <r>
    <x v="639"/>
    <x v="13"/>
    <x v="11"/>
    <n v="36.4"/>
    <n v="327.59999999999997"/>
    <x v="27"/>
    <d v="2025-01-30T00:00:00"/>
    <x v="2"/>
    <x v="0"/>
    <x v="2"/>
    <x v="0"/>
    <x v="3"/>
    <x v="1"/>
    <x v="4"/>
    <x v="2"/>
  </r>
  <r>
    <x v="640"/>
    <x v="0"/>
    <x v="1"/>
    <n v="22.5"/>
    <n v="45"/>
    <x v="27"/>
    <d v="2025-01-31T00:00:00"/>
    <x v="1"/>
    <x v="0"/>
    <x v="0"/>
    <x v="0"/>
    <x v="3"/>
    <x v="2"/>
    <x v="4"/>
    <x v="1"/>
  </r>
  <r>
    <x v="641"/>
    <x v="6"/>
    <x v="12"/>
    <n v="70.8"/>
    <n v="283.2"/>
    <x v="27"/>
    <d v="2025-01-30T00:00:00"/>
    <x v="2"/>
    <x v="4"/>
    <x v="0"/>
    <x v="0"/>
    <x v="3"/>
    <x v="1"/>
    <x v="4"/>
    <x v="2"/>
  </r>
  <r>
    <x v="642"/>
    <x v="6"/>
    <x v="9"/>
    <n v="56.6"/>
    <n v="283"/>
    <x v="27"/>
    <d v="2025-01-30T00:00:00"/>
    <x v="1"/>
    <x v="0"/>
    <x v="1"/>
    <x v="0"/>
    <x v="4"/>
    <x v="1"/>
    <x v="4"/>
    <x v="1"/>
  </r>
  <r>
    <x v="643"/>
    <x v="6"/>
    <x v="1"/>
    <n v="47.9"/>
    <n v="95.8"/>
    <x v="27"/>
    <d v="2025-01-29T00:00:00"/>
    <x v="2"/>
    <x v="0"/>
    <x v="0"/>
    <x v="0"/>
    <x v="6"/>
    <x v="3"/>
    <x v="4"/>
    <x v="2"/>
  </r>
  <r>
    <x v="644"/>
    <x v="6"/>
    <x v="8"/>
    <n v="78.400000000000006"/>
    <n v="627.20000000000005"/>
    <x v="27"/>
    <d v="2025-01-30T00:00:00"/>
    <x v="2"/>
    <x v="1"/>
    <x v="0"/>
    <x v="0"/>
    <x v="6"/>
    <x v="1"/>
    <x v="4"/>
    <x v="2"/>
  </r>
  <r>
    <x v="645"/>
    <x v="2"/>
    <x v="21"/>
    <n v="122.1"/>
    <n v="1709.3999999999999"/>
    <x v="27"/>
    <d v="2025-02-02T00:00:00"/>
    <x v="2"/>
    <x v="0"/>
    <x v="2"/>
    <x v="0"/>
    <x v="6"/>
    <x v="0"/>
    <x v="4"/>
    <x v="2"/>
  </r>
  <r>
    <x v="646"/>
    <x v="2"/>
    <x v="1"/>
    <n v="83.7"/>
    <n v="167.4"/>
    <x v="28"/>
    <d v="2025-01-29T00:00:00"/>
    <x v="0"/>
    <x v="1"/>
    <x v="2"/>
    <x v="0"/>
    <x v="7"/>
    <x v="7"/>
    <x v="4"/>
    <x v="0"/>
  </r>
  <r>
    <x v="647"/>
    <x v="3"/>
    <x v="12"/>
    <n v="97.9"/>
    <n v="391.6"/>
    <x v="28"/>
    <d v="2025-02-02T00:00:00"/>
    <x v="2"/>
    <x v="3"/>
    <x v="2"/>
    <x v="0"/>
    <x v="7"/>
    <x v="5"/>
    <x v="4"/>
    <x v="2"/>
  </r>
  <r>
    <x v="648"/>
    <x v="14"/>
    <x v="0"/>
    <n v="15"/>
    <n v="15"/>
    <x v="28"/>
    <d v="2025-02-03T00:00:00"/>
    <x v="2"/>
    <x v="3"/>
    <x v="0"/>
    <x v="0"/>
    <x v="8"/>
    <x v="0"/>
    <x v="4"/>
    <x v="2"/>
  </r>
  <r>
    <x v="649"/>
    <x v="12"/>
    <x v="2"/>
    <n v="94.6"/>
    <n v="283.79999999999995"/>
    <x v="28"/>
    <d v="2025-01-30T00:00:00"/>
    <x v="1"/>
    <x v="2"/>
    <x v="1"/>
    <x v="0"/>
    <x v="8"/>
    <x v="3"/>
    <x v="4"/>
    <x v="1"/>
  </r>
  <r>
    <x v="650"/>
    <x v="0"/>
    <x v="13"/>
    <n v="19.7"/>
    <n v="118.19999999999999"/>
    <x v="28"/>
    <d v="2025-02-09T00:00:00"/>
    <x v="2"/>
    <x v="0"/>
    <x v="2"/>
    <x v="0"/>
    <x v="8"/>
    <x v="11"/>
    <x v="4"/>
    <x v="2"/>
  </r>
  <r>
    <x v="651"/>
    <x v="7"/>
    <x v="0"/>
    <n v="46.7"/>
    <n v="46.7"/>
    <x v="28"/>
    <d v="2025-02-01T00:00:00"/>
    <x v="2"/>
    <x v="2"/>
    <x v="0"/>
    <x v="0"/>
    <x v="17"/>
    <x v="2"/>
    <x v="4"/>
    <x v="2"/>
  </r>
  <r>
    <x v="652"/>
    <x v="1"/>
    <x v="12"/>
    <n v="43"/>
    <n v="172"/>
    <x v="28"/>
    <d v="2025-01-30T00:00:00"/>
    <x v="1"/>
    <x v="2"/>
    <x v="2"/>
    <x v="0"/>
    <x v="17"/>
    <x v="3"/>
    <x v="4"/>
    <x v="1"/>
  </r>
  <r>
    <x v="653"/>
    <x v="6"/>
    <x v="2"/>
    <n v="68.2"/>
    <n v="204.60000000000002"/>
    <x v="28"/>
    <d v="2025-02-04T00:00:00"/>
    <x v="2"/>
    <x v="0"/>
    <x v="0"/>
    <x v="0"/>
    <x v="9"/>
    <x v="4"/>
    <x v="4"/>
    <x v="2"/>
  </r>
  <r>
    <x v="654"/>
    <x v="10"/>
    <x v="7"/>
    <n v="24.3"/>
    <n v="243"/>
    <x v="28"/>
    <d v="2025-01-30T00:00:00"/>
    <x v="1"/>
    <x v="0"/>
    <x v="2"/>
    <x v="0"/>
    <x v="10"/>
    <x v="3"/>
    <x v="4"/>
    <x v="1"/>
  </r>
  <r>
    <x v="655"/>
    <x v="7"/>
    <x v="1"/>
    <n v="86.8"/>
    <n v="173.6"/>
    <x v="28"/>
    <d v="2025-02-02T00:00:00"/>
    <x v="2"/>
    <x v="4"/>
    <x v="2"/>
    <x v="0"/>
    <x v="11"/>
    <x v="5"/>
    <x v="4"/>
    <x v="2"/>
  </r>
  <r>
    <x v="656"/>
    <x v="0"/>
    <x v="1"/>
    <n v="15.8"/>
    <n v="31.6"/>
    <x v="28"/>
    <d v="2025-01-31T00:00:00"/>
    <x v="1"/>
    <x v="1"/>
    <x v="0"/>
    <x v="0"/>
    <x v="11"/>
    <x v="1"/>
    <x v="4"/>
    <x v="1"/>
  </r>
  <r>
    <x v="657"/>
    <x v="2"/>
    <x v="12"/>
    <n v="61.6"/>
    <n v="246.4"/>
    <x v="28"/>
    <d v="2025-01-30T00:00:00"/>
    <x v="1"/>
    <x v="2"/>
    <x v="0"/>
    <x v="0"/>
    <x v="11"/>
    <x v="3"/>
    <x v="4"/>
    <x v="1"/>
  </r>
  <r>
    <x v="658"/>
    <x v="6"/>
    <x v="2"/>
    <n v="48.7"/>
    <n v="146.10000000000002"/>
    <x v="28"/>
    <d v="2025-02-04T00:00:00"/>
    <x v="2"/>
    <x v="1"/>
    <x v="2"/>
    <x v="0"/>
    <x v="45"/>
    <x v="4"/>
    <x v="4"/>
    <x v="2"/>
  </r>
  <r>
    <x v="659"/>
    <x v="8"/>
    <x v="12"/>
    <n v="24.3"/>
    <n v="97.2"/>
    <x v="28"/>
    <d v="2025-01-31T00:00:00"/>
    <x v="2"/>
    <x v="1"/>
    <x v="2"/>
    <x v="0"/>
    <x v="21"/>
    <x v="1"/>
    <x v="4"/>
    <x v="2"/>
  </r>
  <r>
    <x v="660"/>
    <x v="2"/>
    <x v="1"/>
    <n v="130.69999999999999"/>
    <n v="261.39999999999998"/>
    <x v="28"/>
    <d v="2025-01-30T00:00:00"/>
    <x v="2"/>
    <x v="2"/>
    <x v="0"/>
    <x v="0"/>
    <x v="44"/>
    <x v="3"/>
    <x v="4"/>
    <x v="2"/>
  </r>
  <r>
    <x v="661"/>
    <x v="10"/>
    <x v="0"/>
    <n v="26"/>
    <n v="26"/>
    <x v="28"/>
    <d v="2025-01-31T00:00:00"/>
    <x v="1"/>
    <x v="0"/>
    <x v="0"/>
    <x v="0"/>
    <x v="3"/>
    <x v="1"/>
    <x v="4"/>
    <x v="1"/>
  </r>
  <r>
    <x v="662"/>
    <x v="2"/>
    <x v="9"/>
    <n v="94.4"/>
    <n v="472"/>
    <x v="28"/>
    <d v="2025-01-30T00:00:00"/>
    <x v="2"/>
    <x v="0"/>
    <x v="0"/>
    <x v="0"/>
    <x v="3"/>
    <x v="3"/>
    <x v="4"/>
    <x v="2"/>
  </r>
  <r>
    <x v="663"/>
    <x v="0"/>
    <x v="13"/>
    <n v="23.7"/>
    <n v="142.19999999999999"/>
    <x v="28"/>
    <d v="2025-01-31T00:00:00"/>
    <x v="1"/>
    <x v="2"/>
    <x v="2"/>
    <x v="0"/>
    <x v="3"/>
    <x v="1"/>
    <x v="4"/>
    <x v="1"/>
  </r>
  <r>
    <x v="664"/>
    <x v="9"/>
    <x v="4"/>
    <n v="37.4"/>
    <n v="448.79999999999995"/>
    <x v="28"/>
    <d v="2025-01-31T00:00:00"/>
    <x v="1"/>
    <x v="2"/>
    <x v="0"/>
    <x v="0"/>
    <x v="3"/>
    <x v="1"/>
    <x v="4"/>
    <x v="1"/>
  </r>
  <r>
    <x v="665"/>
    <x v="1"/>
    <x v="34"/>
    <n v="55.2"/>
    <n v="1987.2"/>
    <x v="28"/>
    <d v="2025-01-29T00:00:00"/>
    <x v="2"/>
    <x v="3"/>
    <x v="1"/>
    <x v="0"/>
    <x v="3"/>
    <x v="7"/>
    <x v="4"/>
    <x v="2"/>
  </r>
  <r>
    <x v="666"/>
    <x v="2"/>
    <x v="11"/>
    <n v="57.1"/>
    <n v="513.9"/>
    <x v="28"/>
    <d v="2025-01-31T00:00:00"/>
    <x v="1"/>
    <x v="0"/>
    <x v="2"/>
    <x v="0"/>
    <x v="3"/>
    <x v="1"/>
    <x v="4"/>
    <x v="1"/>
  </r>
  <r>
    <x v="667"/>
    <x v="12"/>
    <x v="0"/>
    <n v="55.3"/>
    <n v="55.3"/>
    <x v="28"/>
    <d v="2025-01-30T00:00:00"/>
    <x v="2"/>
    <x v="2"/>
    <x v="2"/>
    <x v="0"/>
    <x v="3"/>
    <x v="3"/>
    <x v="4"/>
    <x v="2"/>
  </r>
  <r>
    <x v="668"/>
    <x v="15"/>
    <x v="3"/>
    <n v="23.9"/>
    <n v="167.29999999999998"/>
    <x v="28"/>
    <d v="2025-01-30T00:00:00"/>
    <x v="2"/>
    <x v="4"/>
    <x v="1"/>
    <x v="0"/>
    <x v="3"/>
    <x v="3"/>
    <x v="4"/>
    <x v="2"/>
  </r>
  <r>
    <x v="669"/>
    <x v="0"/>
    <x v="0"/>
    <n v="34.1"/>
    <n v="34.1"/>
    <x v="28"/>
    <d v="2025-02-05T00:00:00"/>
    <x v="2"/>
    <x v="2"/>
    <x v="0"/>
    <x v="0"/>
    <x v="3"/>
    <x v="6"/>
    <x v="4"/>
    <x v="2"/>
  </r>
  <r>
    <x v="670"/>
    <x v="12"/>
    <x v="12"/>
    <n v="38.5"/>
    <n v="154"/>
    <x v="28"/>
    <d v="2025-02-09T00:00:00"/>
    <x v="2"/>
    <x v="0"/>
    <x v="0"/>
    <x v="0"/>
    <x v="3"/>
    <x v="11"/>
    <x v="4"/>
    <x v="2"/>
  </r>
  <r>
    <x v="671"/>
    <x v="7"/>
    <x v="1"/>
    <n v="105"/>
    <n v="210"/>
    <x v="28"/>
    <d v="2025-02-04T00:00:00"/>
    <x v="2"/>
    <x v="0"/>
    <x v="2"/>
    <x v="0"/>
    <x v="3"/>
    <x v="4"/>
    <x v="4"/>
    <x v="2"/>
  </r>
  <r>
    <x v="672"/>
    <x v="8"/>
    <x v="9"/>
    <n v="45.2"/>
    <n v="226"/>
    <x v="28"/>
    <d v="2025-01-31T00:00:00"/>
    <x v="2"/>
    <x v="0"/>
    <x v="2"/>
    <x v="0"/>
    <x v="3"/>
    <x v="1"/>
    <x v="4"/>
    <x v="2"/>
  </r>
  <r>
    <x v="673"/>
    <x v="17"/>
    <x v="2"/>
    <n v="24.8"/>
    <n v="74.400000000000006"/>
    <x v="28"/>
    <d v="2025-01-29T00:00:00"/>
    <x v="0"/>
    <x v="0"/>
    <x v="1"/>
    <x v="0"/>
    <x v="3"/>
    <x v="7"/>
    <x v="4"/>
    <x v="0"/>
  </r>
  <r>
    <x v="674"/>
    <x v="11"/>
    <x v="12"/>
    <n v="43.8"/>
    <n v="175.2"/>
    <x v="28"/>
    <d v="2025-02-05T00:00:00"/>
    <x v="2"/>
    <x v="1"/>
    <x v="2"/>
    <x v="0"/>
    <x v="6"/>
    <x v="6"/>
    <x v="4"/>
    <x v="2"/>
  </r>
  <r>
    <x v="675"/>
    <x v="1"/>
    <x v="0"/>
    <n v="75"/>
    <n v="75"/>
    <x v="28"/>
    <d v="2025-01-31T00:00:00"/>
    <x v="2"/>
    <x v="4"/>
    <x v="1"/>
    <x v="0"/>
    <x v="6"/>
    <x v="1"/>
    <x v="4"/>
    <x v="2"/>
  </r>
  <r>
    <x v="676"/>
    <x v="2"/>
    <x v="0"/>
    <n v="169.9"/>
    <n v="169.9"/>
    <x v="28"/>
    <d v="2025-01-30T00:00:00"/>
    <x v="1"/>
    <x v="2"/>
    <x v="0"/>
    <x v="0"/>
    <x v="6"/>
    <x v="3"/>
    <x v="4"/>
    <x v="1"/>
  </r>
  <r>
    <x v="677"/>
    <x v="9"/>
    <x v="1"/>
    <n v="72.2"/>
    <n v="144.4"/>
    <x v="28"/>
    <d v="2025-01-31T00:00:00"/>
    <x v="2"/>
    <x v="4"/>
    <x v="1"/>
    <x v="0"/>
    <x v="6"/>
    <x v="1"/>
    <x v="4"/>
    <x v="2"/>
  </r>
  <r>
    <x v="678"/>
    <x v="0"/>
    <x v="0"/>
    <n v="20"/>
    <n v="20"/>
    <x v="29"/>
    <d v="2025-02-02T00:00:00"/>
    <x v="2"/>
    <x v="2"/>
    <x v="1"/>
    <x v="0"/>
    <x v="7"/>
    <x v="2"/>
    <x v="4"/>
    <x v="2"/>
  </r>
  <r>
    <x v="679"/>
    <x v="9"/>
    <x v="1"/>
    <n v="40.799999999999997"/>
    <n v="81.599999999999994"/>
    <x v="29"/>
    <d v="2025-02-01T00:00:00"/>
    <x v="2"/>
    <x v="3"/>
    <x v="2"/>
    <x v="0"/>
    <x v="8"/>
    <x v="1"/>
    <x v="4"/>
    <x v="2"/>
  </r>
  <r>
    <x v="680"/>
    <x v="10"/>
    <x v="12"/>
    <n v="58"/>
    <n v="232"/>
    <x v="29"/>
    <d v="2025-02-03T00:00:00"/>
    <x v="2"/>
    <x v="0"/>
    <x v="0"/>
    <x v="0"/>
    <x v="8"/>
    <x v="5"/>
    <x v="4"/>
    <x v="2"/>
  </r>
  <r>
    <x v="681"/>
    <x v="12"/>
    <x v="1"/>
    <n v="43.1"/>
    <n v="86.2"/>
    <x v="29"/>
    <d v="2025-01-31T00:00:00"/>
    <x v="2"/>
    <x v="1"/>
    <x v="2"/>
    <x v="0"/>
    <x v="8"/>
    <x v="3"/>
    <x v="4"/>
    <x v="2"/>
  </r>
  <r>
    <x v="682"/>
    <x v="6"/>
    <x v="11"/>
    <n v="74.7"/>
    <n v="672.30000000000007"/>
    <x v="29"/>
    <d v="2025-02-01T00:00:00"/>
    <x v="1"/>
    <x v="0"/>
    <x v="2"/>
    <x v="0"/>
    <x v="8"/>
    <x v="1"/>
    <x v="4"/>
    <x v="1"/>
  </r>
  <r>
    <x v="683"/>
    <x v="6"/>
    <x v="0"/>
    <n v="128.19999999999999"/>
    <n v="128.19999999999999"/>
    <x v="29"/>
    <d v="2025-01-30T00:00:00"/>
    <x v="1"/>
    <x v="1"/>
    <x v="0"/>
    <x v="0"/>
    <x v="8"/>
    <x v="7"/>
    <x v="4"/>
    <x v="1"/>
  </r>
  <r>
    <x v="684"/>
    <x v="14"/>
    <x v="12"/>
    <n v="26.7"/>
    <n v="106.8"/>
    <x v="29"/>
    <d v="2025-01-31T00:00:00"/>
    <x v="1"/>
    <x v="1"/>
    <x v="0"/>
    <x v="0"/>
    <x v="8"/>
    <x v="3"/>
    <x v="4"/>
    <x v="1"/>
  </r>
  <r>
    <x v="685"/>
    <x v="17"/>
    <x v="13"/>
    <n v="31.5"/>
    <n v="189"/>
    <x v="29"/>
    <d v="2025-01-31T00:00:00"/>
    <x v="2"/>
    <x v="2"/>
    <x v="0"/>
    <x v="0"/>
    <x v="17"/>
    <x v="3"/>
    <x v="4"/>
    <x v="2"/>
  </r>
  <r>
    <x v="686"/>
    <x v="3"/>
    <x v="3"/>
    <n v="64.7"/>
    <n v="452.90000000000003"/>
    <x v="29"/>
    <d v="2025-01-31T00:00:00"/>
    <x v="2"/>
    <x v="0"/>
    <x v="2"/>
    <x v="0"/>
    <x v="9"/>
    <x v="3"/>
    <x v="4"/>
    <x v="2"/>
  </r>
  <r>
    <x v="687"/>
    <x v="5"/>
    <x v="1"/>
    <n v="55.6"/>
    <n v="111.2"/>
    <x v="29"/>
    <d v="2025-02-02T00:00:00"/>
    <x v="2"/>
    <x v="3"/>
    <x v="0"/>
    <x v="0"/>
    <x v="11"/>
    <x v="2"/>
    <x v="4"/>
    <x v="2"/>
  </r>
  <r>
    <x v="688"/>
    <x v="3"/>
    <x v="1"/>
    <n v="36.200000000000003"/>
    <n v="72.400000000000006"/>
    <x v="29"/>
    <d v="2025-01-31T00:00:00"/>
    <x v="2"/>
    <x v="3"/>
    <x v="0"/>
    <x v="0"/>
    <x v="11"/>
    <x v="3"/>
    <x v="4"/>
    <x v="2"/>
  </r>
  <r>
    <x v="689"/>
    <x v="0"/>
    <x v="0"/>
    <n v="26.6"/>
    <n v="26.6"/>
    <x v="29"/>
    <d v="2025-01-31T00:00:00"/>
    <x v="0"/>
    <x v="1"/>
    <x v="1"/>
    <x v="0"/>
    <x v="19"/>
    <x v="3"/>
    <x v="4"/>
    <x v="0"/>
  </r>
  <r>
    <x v="690"/>
    <x v="10"/>
    <x v="12"/>
    <n v="31.5"/>
    <n v="126"/>
    <x v="29"/>
    <d v="2025-02-01T00:00:00"/>
    <x v="1"/>
    <x v="0"/>
    <x v="0"/>
    <x v="0"/>
    <x v="31"/>
    <x v="1"/>
    <x v="4"/>
    <x v="1"/>
  </r>
  <r>
    <x v="691"/>
    <x v="10"/>
    <x v="0"/>
    <n v="27"/>
    <n v="27"/>
    <x v="29"/>
    <d v="2025-02-01T00:00:00"/>
    <x v="2"/>
    <x v="1"/>
    <x v="2"/>
    <x v="0"/>
    <x v="13"/>
    <x v="1"/>
    <x v="4"/>
    <x v="2"/>
  </r>
  <r>
    <x v="692"/>
    <x v="4"/>
    <x v="0"/>
    <n v="32"/>
    <n v="32"/>
    <x v="29"/>
    <d v="2025-02-02T00:00:00"/>
    <x v="1"/>
    <x v="3"/>
    <x v="0"/>
    <x v="0"/>
    <x v="21"/>
    <x v="2"/>
    <x v="4"/>
    <x v="1"/>
  </r>
  <r>
    <x v="693"/>
    <x v="1"/>
    <x v="2"/>
    <n v="48.1"/>
    <n v="144.30000000000001"/>
    <x v="29"/>
    <d v="2025-02-01T00:00:00"/>
    <x v="1"/>
    <x v="2"/>
    <x v="1"/>
    <x v="0"/>
    <x v="1"/>
    <x v="1"/>
    <x v="4"/>
    <x v="1"/>
  </r>
  <r>
    <x v="694"/>
    <x v="9"/>
    <x v="1"/>
    <n v="43.4"/>
    <n v="86.8"/>
    <x v="29"/>
    <d v="2025-01-31T00:00:00"/>
    <x v="1"/>
    <x v="1"/>
    <x v="1"/>
    <x v="0"/>
    <x v="22"/>
    <x v="3"/>
    <x v="4"/>
    <x v="1"/>
  </r>
  <r>
    <x v="695"/>
    <x v="6"/>
    <x v="1"/>
    <n v="42.6"/>
    <n v="85.2"/>
    <x v="29"/>
    <d v="2025-02-02T00:00:00"/>
    <x v="2"/>
    <x v="3"/>
    <x v="0"/>
    <x v="0"/>
    <x v="22"/>
    <x v="2"/>
    <x v="4"/>
    <x v="2"/>
  </r>
  <r>
    <x v="696"/>
    <x v="8"/>
    <x v="1"/>
    <n v="15.9"/>
    <n v="31.8"/>
    <x v="29"/>
    <d v="2025-01-31T00:00:00"/>
    <x v="2"/>
    <x v="0"/>
    <x v="0"/>
    <x v="0"/>
    <x v="34"/>
    <x v="3"/>
    <x v="4"/>
    <x v="2"/>
  </r>
  <r>
    <x v="697"/>
    <x v="9"/>
    <x v="1"/>
    <n v="63.2"/>
    <n v="126.4"/>
    <x v="29"/>
    <d v="2025-01-31T00:00:00"/>
    <x v="1"/>
    <x v="1"/>
    <x v="0"/>
    <x v="0"/>
    <x v="3"/>
    <x v="3"/>
    <x v="4"/>
    <x v="1"/>
  </r>
  <r>
    <x v="698"/>
    <x v="7"/>
    <x v="12"/>
    <n v="64.8"/>
    <n v="259.2"/>
    <x v="29"/>
    <d v="2025-02-01T00:00:00"/>
    <x v="0"/>
    <x v="4"/>
    <x v="1"/>
    <x v="0"/>
    <x v="3"/>
    <x v="1"/>
    <x v="4"/>
    <x v="0"/>
  </r>
  <r>
    <x v="699"/>
    <x v="7"/>
    <x v="2"/>
    <n v="79.8"/>
    <n v="239.39999999999998"/>
    <x v="29"/>
    <d v="2025-01-31T00:00:00"/>
    <x v="1"/>
    <x v="0"/>
    <x v="0"/>
    <x v="0"/>
    <x v="3"/>
    <x v="3"/>
    <x v="4"/>
    <x v="1"/>
  </r>
  <r>
    <x v="700"/>
    <x v="9"/>
    <x v="0"/>
    <n v="54.4"/>
    <n v="54.4"/>
    <x v="29"/>
    <d v="2025-02-01T00:00:00"/>
    <x v="2"/>
    <x v="4"/>
    <x v="2"/>
    <x v="0"/>
    <x v="3"/>
    <x v="1"/>
    <x v="4"/>
    <x v="2"/>
  </r>
  <r>
    <x v="701"/>
    <x v="6"/>
    <x v="0"/>
    <n v="87.3"/>
    <n v="87.3"/>
    <x v="29"/>
    <d v="2025-01-31T00:00:00"/>
    <x v="1"/>
    <x v="1"/>
    <x v="0"/>
    <x v="0"/>
    <x v="3"/>
    <x v="3"/>
    <x v="4"/>
    <x v="1"/>
  </r>
  <r>
    <x v="702"/>
    <x v="8"/>
    <x v="12"/>
    <n v="32.4"/>
    <n v="129.6"/>
    <x v="29"/>
    <d v="2025-01-30T00:00:00"/>
    <x v="1"/>
    <x v="1"/>
    <x v="0"/>
    <x v="0"/>
    <x v="3"/>
    <x v="7"/>
    <x v="4"/>
    <x v="1"/>
  </r>
  <r>
    <x v="703"/>
    <x v="2"/>
    <x v="0"/>
    <n v="177.4"/>
    <n v="177.4"/>
    <x v="29"/>
    <d v="2025-02-03T00:00:00"/>
    <x v="1"/>
    <x v="0"/>
    <x v="2"/>
    <x v="0"/>
    <x v="3"/>
    <x v="5"/>
    <x v="4"/>
    <x v="1"/>
  </r>
  <r>
    <x v="704"/>
    <x v="7"/>
    <x v="1"/>
    <n v="70.099999999999994"/>
    <n v="140.19999999999999"/>
    <x v="29"/>
    <d v="2025-01-31T00:00:00"/>
    <x v="1"/>
    <x v="3"/>
    <x v="1"/>
    <x v="0"/>
    <x v="3"/>
    <x v="3"/>
    <x v="4"/>
    <x v="1"/>
  </r>
  <r>
    <x v="705"/>
    <x v="9"/>
    <x v="13"/>
    <n v="51.1"/>
    <n v="306.60000000000002"/>
    <x v="29"/>
    <d v="2025-01-31T00:00:00"/>
    <x v="2"/>
    <x v="0"/>
    <x v="0"/>
    <x v="0"/>
    <x v="3"/>
    <x v="3"/>
    <x v="4"/>
    <x v="2"/>
  </r>
  <r>
    <x v="706"/>
    <x v="2"/>
    <x v="9"/>
    <n v="79.900000000000006"/>
    <n v="399.5"/>
    <x v="29"/>
    <d v="2025-02-01T00:00:00"/>
    <x v="1"/>
    <x v="3"/>
    <x v="2"/>
    <x v="0"/>
    <x v="24"/>
    <x v="1"/>
    <x v="4"/>
    <x v="1"/>
  </r>
  <r>
    <x v="707"/>
    <x v="6"/>
    <x v="0"/>
    <n v="57.6"/>
    <n v="57.6"/>
    <x v="30"/>
    <d v="2025-02-05T00:00:00"/>
    <x v="1"/>
    <x v="0"/>
    <x v="2"/>
    <x v="0"/>
    <x v="49"/>
    <x v="0"/>
    <x v="4"/>
    <x v="1"/>
  </r>
  <r>
    <x v="708"/>
    <x v="8"/>
    <x v="7"/>
    <n v="59.7"/>
    <n v="597"/>
    <x v="30"/>
    <d v="2025-02-04T00:00:00"/>
    <x v="1"/>
    <x v="2"/>
    <x v="0"/>
    <x v="0"/>
    <x v="25"/>
    <x v="5"/>
    <x v="4"/>
    <x v="1"/>
  </r>
  <r>
    <x v="709"/>
    <x v="8"/>
    <x v="9"/>
    <n v="30"/>
    <n v="150"/>
    <x v="30"/>
    <d v="2025-02-02T00:00:00"/>
    <x v="1"/>
    <x v="1"/>
    <x v="0"/>
    <x v="0"/>
    <x v="6"/>
    <x v="1"/>
    <x v="4"/>
    <x v="1"/>
  </r>
  <r>
    <x v="710"/>
    <x v="10"/>
    <x v="1"/>
    <n v="69.2"/>
    <n v="138.4"/>
    <x v="30"/>
    <d v="2025-02-02T00:00:00"/>
    <x v="0"/>
    <x v="2"/>
    <x v="1"/>
    <x v="0"/>
    <x v="6"/>
    <x v="1"/>
    <x v="4"/>
    <x v="0"/>
  </r>
  <r>
    <x v="711"/>
    <x v="0"/>
    <x v="8"/>
    <n v="10.9"/>
    <n v="87.2"/>
    <x v="30"/>
    <d v="2025-02-01T00:00:00"/>
    <x v="2"/>
    <x v="0"/>
    <x v="2"/>
    <x v="0"/>
    <x v="6"/>
    <x v="3"/>
    <x v="4"/>
    <x v="2"/>
  </r>
  <r>
    <x v="712"/>
    <x v="16"/>
    <x v="1"/>
    <n v="48.6"/>
    <n v="97.2"/>
    <x v="30"/>
    <d v="2025-02-04T00:00:00"/>
    <x v="1"/>
    <x v="1"/>
    <x v="2"/>
    <x v="0"/>
    <x v="6"/>
    <x v="5"/>
    <x v="4"/>
    <x v="1"/>
  </r>
  <r>
    <x v="713"/>
    <x v="2"/>
    <x v="1"/>
    <n v="61.1"/>
    <n v="122.2"/>
    <x v="30"/>
    <d v="2025-02-03T00:00:00"/>
    <x v="2"/>
    <x v="1"/>
    <x v="2"/>
    <x v="0"/>
    <x v="7"/>
    <x v="2"/>
    <x v="4"/>
    <x v="2"/>
  </r>
  <r>
    <x v="714"/>
    <x v="8"/>
    <x v="1"/>
    <n v="23.2"/>
    <n v="46.4"/>
    <x v="30"/>
    <d v="2025-02-01T00:00:00"/>
    <x v="1"/>
    <x v="3"/>
    <x v="2"/>
    <x v="0"/>
    <x v="8"/>
    <x v="3"/>
    <x v="4"/>
    <x v="1"/>
  </r>
  <r>
    <x v="715"/>
    <x v="12"/>
    <x v="12"/>
    <n v="55.8"/>
    <n v="223.2"/>
    <x v="30"/>
    <d v="2025-02-01T00:00:00"/>
    <x v="1"/>
    <x v="0"/>
    <x v="0"/>
    <x v="0"/>
    <x v="8"/>
    <x v="3"/>
    <x v="4"/>
    <x v="1"/>
  </r>
  <r>
    <x v="716"/>
    <x v="9"/>
    <x v="12"/>
    <n v="24.8"/>
    <n v="99.2"/>
    <x v="30"/>
    <d v="2025-02-01T00:00:00"/>
    <x v="2"/>
    <x v="0"/>
    <x v="2"/>
    <x v="0"/>
    <x v="8"/>
    <x v="3"/>
    <x v="4"/>
    <x v="2"/>
  </r>
  <r>
    <x v="717"/>
    <x v="10"/>
    <x v="1"/>
    <n v="27.9"/>
    <n v="55.8"/>
    <x v="30"/>
    <d v="2025-01-31T00:00:00"/>
    <x v="1"/>
    <x v="2"/>
    <x v="2"/>
    <x v="0"/>
    <x v="8"/>
    <x v="7"/>
    <x v="4"/>
    <x v="1"/>
  </r>
  <r>
    <x v="718"/>
    <x v="10"/>
    <x v="13"/>
    <n v="51.1"/>
    <n v="306.60000000000002"/>
    <x v="30"/>
    <d v="2025-01-31T00:00:00"/>
    <x v="2"/>
    <x v="3"/>
    <x v="0"/>
    <x v="0"/>
    <x v="8"/>
    <x v="7"/>
    <x v="4"/>
    <x v="2"/>
  </r>
  <r>
    <x v="719"/>
    <x v="17"/>
    <x v="5"/>
    <n v="32.700000000000003"/>
    <n v="359.70000000000005"/>
    <x v="30"/>
    <d v="2025-02-01T00:00:00"/>
    <x v="1"/>
    <x v="4"/>
    <x v="2"/>
    <x v="0"/>
    <x v="17"/>
    <x v="3"/>
    <x v="4"/>
    <x v="1"/>
  </r>
  <r>
    <x v="720"/>
    <x v="8"/>
    <x v="12"/>
    <n v="22.5"/>
    <n v="90"/>
    <x v="30"/>
    <d v="2025-01-31T00:00:00"/>
    <x v="1"/>
    <x v="0"/>
    <x v="2"/>
    <x v="0"/>
    <x v="26"/>
    <x v="7"/>
    <x v="4"/>
    <x v="1"/>
  </r>
  <r>
    <x v="721"/>
    <x v="0"/>
    <x v="3"/>
    <n v="14.6"/>
    <n v="102.2"/>
    <x v="30"/>
    <d v="2025-02-01T00:00:00"/>
    <x v="2"/>
    <x v="2"/>
    <x v="0"/>
    <x v="0"/>
    <x v="41"/>
    <x v="3"/>
    <x v="4"/>
    <x v="2"/>
  </r>
  <r>
    <x v="722"/>
    <x v="5"/>
    <x v="2"/>
    <n v="32.5"/>
    <n v="97.5"/>
    <x v="30"/>
    <d v="2025-02-03T00:00:00"/>
    <x v="1"/>
    <x v="0"/>
    <x v="0"/>
    <x v="0"/>
    <x v="10"/>
    <x v="2"/>
    <x v="4"/>
    <x v="1"/>
  </r>
  <r>
    <x v="723"/>
    <x v="18"/>
    <x v="0"/>
    <n v="78.099999999999994"/>
    <n v="78.099999999999994"/>
    <x v="30"/>
    <d v="2025-02-03T00:00:00"/>
    <x v="1"/>
    <x v="0"/>
    <x v="2"/>
    <x v="0"/>
    <x v="11"/>
    <x v="2"/>
    <x v="4"/>
    <x v="1"/>
  </r>
  <r>
    <x v="724"/>
    <x v="12"/>
    <x v="13"/>
    <n v="110.2"/>
    <n v="661.2"/>
    <x v="30"/>
    <d v="2025-01-31T00:00:00"/>
    <x v="1"/>
    <x v="1"/>
    <x v="4"/>
    <x v="0"/>
    <x v="13"/>
    <x v="7"/>
    <x v="4"/>
    <x v="1"/>
  </r>
  <r>
    <x v="725"/>
    <x v="6"/>
    <x v="2"/>
    <n v="86.3"/>
    <n v="258.89999999999998"/>
    <x v="30"/>
    <d v="2025-02-02T00:00:00"/>
    <x v="2"/>
    <x v="3"/>
    <x v="0"/>
    <x v="0"/>
    <x v="21"/>
    <x v="1"/>
    <x v="4"/>
    <x v="2"/>
  </r>
  <r>
    <x v="726"/>
    <x v="1"/>
    <x v="13"/>
    <n v="73.599999999999994"/>
    <n v="441.59999999999997"/>
    <x v="30"/>
    <d v="2025-02-02T00:00:00"/>
    <x v="3"/>
    <x v="3"/>
    <x v="4"/>
    <x v="0"/>
    <x v="44"/>
    <x v="1"/>
    <x v="4"/>
    <x v="3"/>
  </r>
  <r>
    <x v="727"/>
    <x v="6"/>
    <x v="15"/>
    <n v="67.7"/>
    <n v="880.1"/>
    <x v="30"/>
    <d v="2025-02-02T00:00:00"/>
    <x v="2"/>
    <x v="0"/>
    <x v="2"/>
    <x v="0"/>
    <x v="3"/>
    <x v="1"/>
    <x v="4"/>
    <x v="2"/>
  </r>
  <r>
    <x v="728"/>
    <x v="7"/>
    <x v="13"/>
    <n v="142.19999999999999"/>
    <n v="853.19999999999993"/>
    <x v="30"/>
    <d v="2025-02-01T00:00:00"/>
    <x v="2"/>
    <x v="2"/>
    <x v="4"/>
    <x v="0"/>
    <x v="3"/>
    <x v="3"/>
    <x v="4"/>
    <x v="2"/>
  </r>
  <r>
    <x v="729"/>
    <x v="1"/>
    <x v="11"/>
    <n v="45.8"/>
    <n v="412.2"/>
    <x v="30"/>
    <d v="2025-02-02T00:00:00"/>
    <x v="2"/>
    <x v="1"/>
    <x v="2"/>
    <x v="0"/>
    <x v="3"/>
    <x v="1"/>
    <x v="4"/>
    <x v="2"/>
  </r>
  <r>
    <x v="730"/>
    <x v="10"/>
    <x v="1"/>
    <n v="24.2"/>
    <n v="48.4"/>
    <x v="31"/>
    <d v="2025-02-04T00:00:00"/>
    <x v="2"/>
    <x v="3"/>
    <x v="2"/>
    <x v="0"/>
    <x v="3"/>
    <x v="2"/>
    <x v="4"/>
    <x v="2"/>
  </r>
  <r>
    <x v="731"/>
    <x v="2"/>
    <x v="2"/>
    <n v="144.9"/>
    <n v="434.70000000000005"/>
    <x v="31"/>
    <d v="2025-02-02T00:00:00"/>
    <x v="3"/>
    <x v="2"/>
    <x v="2"/>
    <x v="0"/>
    <x v="3"/>
    <x v="3"/>
    <x v="4"/>
    <x v="3"/>
  </r>
  <r>
    <x v="732"/>
    <x v="11"/>
    <x v="9"/>
    <n v="32.799999999999997"/>
    <n v="164"/>
    <x v="31"/>
    <d v="2025-02-04T00:00:00"/>
    <x v="2"/>
    <x v="2"/>
    <x v="0"/>
    <x v="0"/>
    <x v="23"/>
    <x v="2"/>
    <x v="4"/>
    <x v="2"/>
  </r>
  <r>
    <x v="733"/>
    <x v="7"/>
    <x v="7"/>
    <n v="35.700000000000003"/>
    <n v="357"/>
    <x v="31"/>
    <d v="2025-02-01T00:00:00"/>
    <x v="2"/>
    <x v="0"/>
    <x v="1"/>
    <x v="0"/>
    <x v="6"/>
    <x v="7"/>
    <x v="4"/>
    <x v="2"/>
  </r>
  <r>
    <x v="734"/>
    <x v="9"/>
    <x v="1"/>
    <n v="54.6"/>
    <n v="109.2"/>
    <x v="31"/>
    <d v="2025-02-02T00:00:00"/>
    <x v="2"/>
    <x v="2"/>
    <x v="0"/>
    <x v="0"/>
    <x v="6"/>
    <x v="3"/>
    <x v="4"/>
    <x v="2"/>
  </r>
  <r>
    <x v="735"/>
    <x v="8"/>
    <x v="1"/>
    <n v="35.700000000000003"/>
    <n v="71.400000000000006"/>
    <x v="31"/>
    <d v="2025-02-04T00:00:00"/>
    <x v="0"/>
    <x v="0"/>
    <x v="1"/>
    <x v="0"/>
    <x v="6"/>
    <x v="2"/>
    <x v="4"/>
    <x v="0"/>
  </r>
  <r>
    <x v="736"/>
    <x v="10"/>
    <x v="1"/>
    <n v="52.4"/>
    <n v="104.8"/>
    <x v="31"/>
    <d v="2025-02-01T00:00:00"/>
    <x v="2"/>
    <x v="0"/>
    <x v="3"/>
    <x v="0"/>
    <x v="6"/>
    <x v="7"/>
    <x v="4"/>
    <x v="2"/>
  </r>
  <r>
    <x v="737"/>
    <x v="8"/>
    <x v="21"/>
    <n v="16.2"/>
    <n v="226.79999999999998"/>
    <x v="31"/>
    <d v="2025-02-02T00:00:00"/>
    <x v="0"/>
    <x v="0"/>
    <x v="1"/>
    <x v="0"/>
    <x v="8"/>
    <x v="3"/>
    <x v="4"/>
    <x v="0"/>
  </r>
  <r>
    <x v="738"/>
    <x v="6"/>
    <x v="35"/>
    <n v="42.8"/>
    <n v="2011.6"/>
    <x v="31"/>
    <d v="2025-02-02T00:00:00"/>
    <x v="2"/>
    <x v="0"/>
    <x v="0"/>
    <x v="0"/>
    <x v="8"/>
    <x v="3"/>
    <x v="4"/>
    <x v="2"/>
  </r>
  <r>
    <x v="739"/>
    <x v="6"/>
    <x v="11"/>
    <n v="144.4"/>
    <n v="1299.6000000000001"/>
    <x v="31"/>
    <d v="2025-02-04T00:00:00"/>
    <x v="2"/>
    <x v="4"/>
    <x v="0"/>
    <x v="0"/>
    <x v="8"/>
    <x v="2"/>
    <x v="4"/>
    <x v="2"/>
  </r>
  <r>
    <x v="740"/>
    <x v="3"/>
    <x v="34"/>
    <n v="30.6"/>
    <n v="1101.6000000000001"/>
    <x v="31"/>
    <d v="2025-02-05T00:00:00"/>
    <x v="2"/>
    <x v="2"/>
    <x v="2"/>
    <x v="0"/>
    <x v="11"/>
    <x v="5"/>
    <x v="4"/>
    <x v="2"/>
  </r>
  <r>
    <x v="741"/>
    <x v="2"/>
    <x v="1"/>
    <n v="117.5"/>
    <n v="235"/>
    <x v="31"/>
    <d v="2025-02-02T00:00:00"/>
    <x v="1"/>
    <x v="0"/>
    <x v="0"/>
    <x v="0"/>
    <x v="19"/>
    <x v="3"/>
    <x v="4"/>
    <x v="1"/>
  </r>
  <r>
    <x v="742"/>
    <x v="6"/>
    <x v="1"/>
    <n v="105.7"/>
    <n v="211.4"/>
    <x v="31"/>
    <d v="2025-02-02T00:00:00"/>
    <x v="2"/>
    <x v="2"/>
    <x v="2"/>
    <x v="0"/>
    <x v="21"/>
    <x v="3"/>
    <x v="4"/>
    <x v="2"/>
  </r>
  <r>
    <x v="743"/>
    <x v="3"/>
    <x v="2"/>
    <n v="133.69999999999999"/>
    <n v="401.09999999999997"/>
    <x v="31"/>
    <d v="2025-02-02T00:00:00"/>
    <x v="0"/>
    <x v="4"/>
    <x v="2"/>
    <x v="0"/>
    <x v="21"/>
    <x v="3"/>
    <x v="4"/>
    <x v="0"/>
  </r>
  <r>
    <x v="744"/>
    <x v="4"/>
    <x v="9"/>
    <n v="46.8"/>
    <n v="234"/>
    <x v="32"/>
    <d v="2025-02-10T00:00:00"/>
    <x v="2"/>
    <x v="0"/>
    <x v="1"/>
    <x v="0"/>
    <x v="21"/>
    <x v="9"/>
    <x v="5"/>
    <x v="2"/>
  </r>
  <r>
    <x v="745"/>
    <x v="10"/>
    <x v="2"/>
    <n v="58.4"/>
    <n v="175.2"/>
    <x v="32"/>
    <d v="2025-02-04T00:00:00"/>
    <x v="2"/>
    <x v="0"/>
    <x v="0"/>
    <x v="0"/>
    <x v="1"/>
    <x v="1"/>
    <x v="5"/>
    <x v="2"/>
  </r>
  <r>
    <x v="746"/>
    <x v="6"/>
    <x v="11"/>
    <n v="65.099999999999994"/>
    <n v="585.9"/>
    <x v="32"/>
    <d v="2025-02-06T00:00:00"/>
    <x v="1"/>
    <x v="1"/>
    <x v="2"/>
    <x v="0"/>
    <x v="22"/>
    <x v="5"/>
    <x v="5"/>
    <x v="1"/>
  </r>
  <r>
    <x v="747"/>
    <x v="8"/>
    <x v="0"/>
    <n v="18.600000000000001"/>
    <n v="18.600000000000001"/>
    <x v="32"/>
    <d v="2025-02-05T00:00:00"/>
    <x v="2"/>
    <x v="0"/>
    <x v="4"/>
    <x v="0"/>
    <x v="22"/>
    <x v="2"/>
    <x v="5"/>
    <x v="2"/>
  </r>
  <r>
    <x v="748"/>
    <x v="1"/>
    <x v="5"/>
    <n v="92.3"/>
    <n v="1015.3"/>
    <x v="32"/>
    <d v="2025-02-04T00:00:00"/>
    <x v="1"/>
    <x v="1"/>
    <x v="0"/>
    <x v="0"/>
    <x v="3"/>
    <x v="1"/>
    <x v="5"/>
    <x v="1"/>
  </r>
  <r>
    <x v="749"/>
    <x v="6"/>
    <x v="2"/>
    <n v="81.7"/>
    <n v="245.10000000000002"/>
    <x v="32"/>
    <d v="2025-02-03T00:00:00"/>
    <x v="0"/>
    <x v="4"/>
    <x v="4"/>
    <x v="0"/>
    <x v="3"/>
    <x v="3"/>
    <x v="5"/>
    <x v="0"/>
  </r>
  <r>
    <x v="750"/>
    <x v="8"/>
    <x v="1"/>
    <n v="40.9"/>
    <n v="81.8"/>
    <x v="32"/>
    <d v="2025-02-04T00:00:00"/>
    <x v="1"/>
    <x v="0"/>
    <x v="1"/>
    <x v="0"/>
    <x v="3"/>
    <x v="1"/>
    <x v="5"/>
    <x v="1"/>
  </r>
  <r>
    <x v="751"/>
    <x v="6"/>
    <x v="12"/>
    <n v="43.2"/>
    <n v="172.8"/>
    <x v="32"/>
    <d v="2025-02-08T00:00:00"/>
    <x v="2"/>
    <x v="0"/>
    <x v="1"/>
    <x v="0"/>
    <x v="3"/>
    <x v="4"/>
    <x v="5"/>
    <x v="2"/>
  </r>
  <r>
    <x v="752"/>
    <x v="8"/>
    <x v="5"/>
    <n v="25.8"/>
    <n v="283.8"/>
    <x v="32"/>
    <d v="2025-02-05T00:00:00"/>
    <x v="1"/>
    <x v="2"/>
    <x v="1"/>
    <x v="0"/>
    <x v="3"/>
    <x v="2"/>
    <x v="5"/>
    <x v="1"/>
  </r>
  <r>
    <x v="753"/>
    <x v="15"/>
    <x v="12"/>
    <n v="36.4"/>
    <n v="145.6"/>
    <x v="32"/>
    <d v="2025-02-03T00:00:00"/>
    <x v="1"/>
    <x v="0"/>
    <x v="0"/>
    <x v="0"/>
    <x v="3"/>
    <x v="3"/>
    <x v="5"/>
    <x v="1"/>
  </r>
  <r>
    <x v="754"/>
    <x v="10"/>
    <x v="0"/>
    <n v="59.1"/>
    <n v="59.1"/>
    <x v="32"/>
    <d v="2025-02-03T00:00:00"/>
    <x v="2"/>
    <x v="2"/>
    <x v="0"/>
    <x v="0"/>
    <x v="7"/>
    <x v="3"/>
    <x v="5"/>
    <x v="2"/>
  </r>
  <r>
    <x v="755"/>
    <x v="2"/>
    <x v="14"/>
    <n v="74.5"/>
    <n v="1266.5"/>
    <x v="32"/>
    <d v="2025-02-04T00:00:00"/>
    <x v="1"/>
    <x v="4"/>
    <x v="0"/>
    <x v="0"/>
    <x v="18"/>
    <x v="1"/>
    <x v="5"/>
    <x v="1"/>
  </r>
  <r>
    <x v="756"/>
    <x v="5"/>
    <x v="0"/>
    <n v="72.8"/>
    <n v="72.8"/>
    <x v="32"/>
    <d v="2025-02-03T00:00:00"/>
    <x v="2"/>
    <x v="0"/>
    <x v="1"/>
    <x v="0"/>
    <x v="19"/>
    <x v="3"/>
    <x v="5"/>
    <x v="2"/>
  </r>
  <r>
    <x v="757"/>
    <x v="6"/>
    <x v="12"/>
    <n v="137.30000000000001"/>
    <n v="549.20000000000005"/>
    <x v="32"/>
    <d v="2025-02-05T00:00:00"/>
    <x v="2"/>
    <x v="0"/>
    <x v="0"/>
    <x v="0"/>
    <x v="13"/>
    <x v="2"/>
    <x v="5"/>
    <x v="2"/>
  </r>
  <r>
    <x v="758"/>
    <x v="1"/>
    <x v="2"/>
    <n v="48.7"/>
    <n v="146.10000000000002"/>
    <x v="32"/>
    <d v="2025-02-07T00:00:00"/>
    <x v="2"/>
    <x v="0"/>
    <x v="1"/>
    <x v="0"/>
    <x v="21"/>
    <x v="0"/>
    <x v="5"/>
    <x v="2"/>
  </r>
  <r>
    <x v="759"/>
    <x v="6"/>
    <x v="12"/>
    <n v="53.7"/>
    <n v="214.8"/>
    <x v="32"/>
    <d v="2025-02-06T00:00:00"/>
    <x v="1"/>
    <x v="1"/>
    <x v="4"/>
    <x v="0"/>
    <x v="2"/>
    <x v="5"/>
    <x v="5"/>
    <x v="1"/>
  </r>
  <r>
    <x v="760"/>
    <x v="2"/>
    <x v="3"/>
    <n v="100.9"/>
    <n v="706.30000000000007"/>
    <x v="32"/>
    <d v="2025-02-04T00:00:00"/>
    <x v="2"/>
    <x v="0"/>
    <x v="1"/>
    <x v="0"/>
    <x v="2"/>
    <x v="1"/>
    <x v="5"/>
    <x v="2"/>
  </r>
  <r>
    <x v="761"/>
    <x v="10"/>
    <x v="1"/>
    <n v="41.8"/>
    <n v="83.6"/>
    <x v="32"/>
    <d v="2025-02-06T00:00:00"/>
    <x v="1"/>
    <x v="3"/>
    <x v="2"/>
    <x v="0"/>
    <x v="22"/>
    <x v="5"/>
    <x v="5"/>
    <x v="1"/>
  </r>
  <r>
    <x v="762"/>
    <x v="4"/>
    <x v="8"/>
    <n v="28.5"/>
    <n v="228"/>
    <x v="32"/>
    <d v="2025-02-04T00:00:00"/>
    <x v="1"/>
    <x v="2"/>
    <x v="1"/>
    <x v="0"/>
    <x v="3"/>
    <x v="1"/>
    <x v="5"/>
    <x v="1"/>
  </r>
  <r>
    <x v="763"/>
    <x v="7"/>
    <x v="12"/>
    <n v="88.9"/>
    <n v="355.6"/>
    <x v="32"/>
    <d v="2025-02-05T00:00:00"/>
    <x v="2"/>
    <x v="0"/>
    <x v="2"/>
    <x v="0"/>
    <x v="3"/>
    <x v="2"/>
    <x v="5"/>
    <x v="2"/>
  </r>
  <r>
    <x v="764"/>
    <x v="6"/>
    <x v="0"/>
    <n v="62.5"/>
    <n v="62.5"/>
    <x v="32"/>
    <d v="2025-02-11T00:00:00"/>
    <x v="2"/>
    <x v="0"/>
    <x v="2"/>
    <x v="0"/>
    <x v="3"/>
    <x v="8"/>
    <x v="5"/>
    <x v="2"/>
  </r>
  <r>
    <x v="765"/>
    <x v="1"/>
    <x v="2"/>
    <n v="46.9"/>
    <n v="140.69999999999999"/>
    <x v="32"/>
    <d v="2025-02-03T00:00:00"/>
    <x v="1"/>
    <x v="0"/>
    <x v="2"/>
    <x v="0"/>
    <x v="3"/>
    <x v="3"/>
    <x v="5"/>
    <x v="1"/>
  </r>
  <r>
    <x v="766"/>
    <x v="8"/>
    <x v="2"/>
    <n v="45"/>
    <n v="135"/>
    <x v="32"/>
    <d v="2025-02-16T00:00:00"/>
    <x v="1"/>
    <x v="1"/>
    <x v="0"/>
    <x v="0"/>
    <x v="3"/>
    <x v="12"/>
    <x v="5"/>
    <x v="1"/>
  </r>
  <r>
    <x v="767"/>
    <x v="6"/>
    <x v="2"/>
    <n v="45.2"/>
    <n v="135.60000000000002"/>
    <x v="32"/>
    <d v="2025-02-04T00:00:00"/>
    <x v="1"/>
    <x v="4"/>
    <x v="2"/>
    <x v="0"/>
    <x v="3"/>
    <x v="1"/>
    <x v="5"/>
    <x v="1"/>
  </r>
  <r>
    <x v="768"/>
    <x v="4"/>
    <x v="1"/>
    <n v="60.1"/>
    <n v="120.2"/>
    <x v="32"/>
    <d v="2025-02-03T00:00:00"/>
    <x v="2"/>
    <x v="0"/>
    <x v="2"/>
    <x v="0"/>
    <x v="3"/>
    <x v="3"/>
    <x v="5"/>
    <x v="2"/>
  </r>
  <r>
    <x v="769"/>
    <x v="12"/>
    <x v="12"/>
    <n v="118.7"/>
    <n v="474.8"/>
    <x v="32"/>
    <d v="2025-02-04T00:00:00"/>
    <x v="2"/>
    <x v="0"/>
    <x v="0"/>
    <x v="0"/>
    <x v="3"/>
    <x v="1"/>
    <x v="5"/>
    <x v="2"/>
  </r>
  <r>
    <x v="770"/>
    <x v="9"/>
    <x v="0"/>
    <n v="57.8"/>
    <n v="57.8"/>
    <x v="32"/>
    <d v="2025-02-11T00:00:00"/>
    <x v="2"/>
    <x v="1"/>
    <x v="0"/>
    <x v="0"/>
    <x v="3"/>
    <x v="8"/>
    <x v="5"/>
    <x v="2"/>
  </r>
  <r>
    <x v="771"/>
    <x v="4"/>
    <x v="0"/>
    <n v="19.5"/>
    <n v="19.5"/>
    <x v="32"/>
    <d v="2025-02-03T00:00:00"/>
    <x v="1"/>
    <x v="1"/>
    <x v="1"/>
    <x v="0"/>
    <x v="3"/>
    <x v="3"/>
    <x v="5"/>
    <x v="1"/>
  </r>
  <r>
    <x v="772"/>
    <x v="12"/>
    <x v="0"/>
    <n v="42.6"/>
    <n v="42.6"/>
    <x v="32"/>
    <d v="2025-02-03T00:00:00"/>
    <x v="1"/>
    <x v="0"/>
    <x v="1"/>
    <x v="0"/>
    <x v="3"/>
    <x v="3"/>
    <x v="5"/>
    <x v="1"/>
  </r>
  <r>
    <x v="773"/>
    <x v="6"/>
    <x v="1"/>
    <n v="74.8"/>
    <n v="149.6"/>
    <x v="32"/>
    <d v="2025-02-03T00:00:00"/>
    <x v="2"/>
    <x v="3"/>
    <x v="2"/>
    <x v="0"/>
    <x v="37"/>
    <x v="3"/>
    <x v="5"/>
    <x v="2"/>
  </r>
  <r>
    <x v="774"/>
    <x v="8"/>
    <x v="2"/>
    <n v="32.5"/>
    <n v="97.5"/>
    <x v="32"/>
    <d v="2025-02-03T00:00:00"/>
    <x v="1"/>
    <x v="2"/>
    <x v="4"/>
    <x v="0"/>
    <x v="16"/>
    <x v="3"/>
    <x v="5"/>
    <x v="1"/>
  </r>
  <r>
    <x v="775"/>
    <x v="2"/>
    <x v="2"/>
    <n v="60.5"/>
    <n v="181.5"/>
    <x v="32"/>
    <d v="2025-02-02T00:00:00"/>
    <x v="2"/>
    <x v="1"/>
    <x v="2"/>
    <x v="0"/>
    <x v="25"/>
    <x v="7"/>
    <x v="5"/>
    <x v="2"/>
  </r>
  <r>
    <x v="776"/>
    <x v="1"/>
    <x v="3"/>
    <n v="57.2"/>
    <n v="400.40000000000003"/>
    <x v="32"/>
    <d v="2025-02-04T00:00:00"/>
    <x v="0"/>
    <x v="2"/>
    <x v="0"/>
    <x v="0"/>
    <x v="25"/>
    <x v="1"/>
    <x v="5"/>
    <x v="0"/>
  </r>
  <r>
    <x v="777"/>
    <x v="16"/>
    <x v="1"/>
    <n v="112"/>
    <n v="224"/>
    <x v="32"/>
    <d v="2025-02-03T00:00:00"/>
    <x v="2"/>
    <x v="1"/>
    <x v="1"/>
    <x v="0"/>
    <x v="5"/>
    <x v="3"/>
    <x v="5"/>
    <x v="2"/>
  </r>
  <r>
    <x v="778"/>
    <x v="7"/>
    <x v="7"/>
    <n v="49"/>
    <n v="490"/>
    <x v="32"/>
    <d v="2025-02-03T00:00:00"/>
    <x v="3"/>
    <x v="2"/>
    <x v="1"/>
    <x v="0"/>
    <x v="6"/>
    <x v="3"/>
    <x v="5"/>
    <x v="3"/>
  </r>
  <r>
    <x v="779"/>
    <x v="0"/>
    <x v="1"/>
    <n v="33.700000000000003"/>
    <n v="67.400000000000006"/>
    <x v="32"/>
    <d v="2025-02-06T00:00:00"/>
    <x v="2"/>
    <x v="3"/>
    <x v="0"/>
    <x v="0"/>
    <x v="6"/>
    <x v="5"/>
    <x v="5"/>
    <x v="2"/>
  </r>
  <r>
    <x v="780"/>
    <x v="4"/>
    <x v="2"/>
    <n v="35.6"/>
    <n v="106.80000000000001"/>
    <x v="32"/>
    <d v="2025-02-05T00:00:00"/>
    <x v="2"/>
    <x v="0"/>
    <x v="2"/>
    <x v="0"/>
    <x v="6"/>
    <x v="2"/>
    <x v="5"/>
    <x v="2"/>
  </r>
  <r>
    <x v="781"/>
    <x v="4"/>
    <x v="36"/>
    <n v="30.4"/>
    <n v="1064"/>
    <x v="33"/>
    <d v="2025-02-03T00:00:00"/>
    <x v="2"/>
    <x v="0"/>
    <x v="1"/>
    <x v="0"/>
    <x v="7"/>
    <x v="7"/>
    <x v="5"/>
    <x v="2"/>
  </r>
  <r>
    <x v="782"/>
    <x v="10"/>
    <x v="4"/>
    <n v="50.2"/>
    <n v="602.40000000000009"/>
    <x v="33"/>
    <d v="2025-02-04T00:00:00"/>
    <x v="1"/>
    <x v="4"/>
    <x v="0"/>
    <x v="0"/>
    <x v="8"/>
    <x v="3"/>
    <x v="5"/>
    <x v="1"/>
  </r>
  <r>
    <x v="783"/>
    <x v="1"/>
    <x v="1"/>
    <n v="43.7"/>
    <n v="87.4"/>
    <x v="33"/>
    <d v="2025-02-05T00:00:00"/>
    <x v="2"/>
    <x v="0"/>
    <x v="0"/>
    <x v="0"/>
    <x v="8"/>
    <x v="1"/>
    <x v="5"/>
    <x v="2"/>
  </r>
  <r>
    <x v="784"/>
    <x v="10"/>
    <x v="0"/>
    <n v="33.299999999999997"/>
    <n v="33.299999999999997"/>
    <x v="33"/>
    <d v="2025-02-04T00:00:00"/>
    <x v="2"/>
    <x v="2"/>
    <x v="1"/>
    <x v="0"/>
    <x v="8"/>
    <x v="3"/>
    <x v="5"/>
    <x v="2"/>
  </r>
  <r>
    <x v="785"/>
    <x v="8"/>
    <x v="12"/>
    <n v="15.1"/>
    <n v="60.4"/>
    <x v="33"/>
    <d v="2025-02-05T00:00:00"/>
    <x v="2"/>
    <x v="4"/>
    <x v="2"/>
    <x v="0"/>
    <x v="8"/>
    <x v="1"/>
    <x v="5"/>
    <x v="2"/>
  </r>
  <r>
    <x v="786"/>
    <x v="6"/>
    <x v="9"/>
    <n v="118.2"/>
    <n v="591"/>
    <x v="33"/>
    <d v="2025-02-04T00:00:00"/>
    <x v="2"/>
    <x v="3"/>
    <x v="4"/>
    <x v="0"/>
    <x v="8"/>
    <x v="3"/>
    <x v="5"/>
    <x v="2"/>
  </r>
  <r>
    <x v="787"/>
    <x v="10"/>
    <x v="2"/>
    <n v="28.9"/>
    <n v="86.699999999999989"/>
    <x v="33"/>
    <d v="2025-02-05T00:00:00"/>
    <x v="2"/>
    <x v="2"/>
    <x v="1"/>
    <x v="0"/>
    <x v="8"/>
    <x v="1"/>
    <x v="5"/>
    <x v="2"/>
  </r>
  <r>
    <x v="788"/>
    <x v="4"/>
    <x v="2"/>
    <n v="55.6"/>
    <n v="166.8"/>
    <x v="33"/>
    <d v="2025-02-04T00:00:00"/>
    <x v="1"/>
    <x v="0"/>
    <x v="1"/>
    <x v="0"/>
    <x v="8"/>
    <x v="3"/>
    <x v="5"/>
    <x v="1"/>
  </r>
  <r>
    <x v="789"/>
    <x v="9"/>
    <x v="12"/>
    <n v="25.6"/>
    <n v="102.4"/>
    <x v="33"/>
    <d v="2025-02-05T00:00:00"/>
    <x v="2"/>
    <x v="0"/>
    <x v="1"/>
    <x v="0"/>
    <x v="8"/>
    <x v="1"/>
    <x v="5"/>
    <x v="2"/>
  </r>
  <r>
    <x v="790"/>
    <x v="7"/>
    <x v="2"/>
    <n v="31.3"/>
    <n v="93.9"/>
    <x v="33"/>
    <d v="2025-02-04T00:00:00"/>
    <x v="1"/>
    <x v="0"/>
    <x v="0"/>
    <x v="0"/>
    <x v="17"/>
    <x v="3"/>
    <x v="5"/>
    <x v="1"/>
  </r>
  <r>
    <x v="791"/>
    <x v="0"/>
    <x v="2"/>
    <n v="22.1"/>
    <n v="66.300000000000011"/>
    <x v="33"/>
    <d v="2025-02-07T00:00:00"/>
    <x v="1"/>
    <x v="0"/>
    <x v="0"/>
    <x v="0"/>
    <x v="17"/>
    <x v="5"/>
    <x v="5"/>
    <x v="1"/>
  </r>
  <r>
    <x v="792"/>
    <x v="2"/>
    <x v="21"/>
    <n v="99.4"/>
    <n v="1391.6000000000001"/>
    <x v="33"/>
    <d v="2025-02-04T00:00:00"/>
    <x v="1"/>
    <x v="1"/>
    <x v="0"/>
    <x v="0"/>
    <x v="11"/>
    <x v="3"/>
    <x v="5"/>
    <x v="1"/>
  </r>
  <r>
    <x v="793"/>
    <x v="7"/>
    <x v="13"/>
    <n v="66.599999999999994"/>
    <n v="399.59999999999997"/>
    <x v="33"/>
    <d v="2025-02-04T00:00:00"/>
    <x v="2"/>
    <x v="0"/>
    <x v="0"/>
    <x v="0"/>
    <x v="11"/>
    <x v="3"/>
    <x v="5"/>
    <x v="2"/>
  </r>
  <r>
    <x v="794"/>
    <x v="8"/>
    <x v="1"/>
    <n v="22.6"/>
    <n v="45.2"/>
    <x v="33"/>
    <d v="2025-02-06T00:00:00"/>
    <x v="1"/>
    <x v="0"/>
    <x v="0"/>
    <x v="0"/>
    <x v="11"/>
    <x v="2"/>
    <x v="5"/>
    <x v="1"/>
  </r>
  <r>
    <x v="795"/>
    <x v="2"/>
    <x v="16"/>
    <n v="66.8"/>
    <n v="1202.3999999999999"/>
    <x v="33"/>
    <d v="2025-02-04T00:00:00"/>
    <x v="2"/>
    <x v="0"/>
    <x v="4"/>
    <x v="0"/>
    <x v="13"/>
    <x v="3"/>
    <x v="5"/>
    <x v="2"/>
  </r>
  <r>
    <x v="796"/>
    <x v="0"/>
    <x v="12"/>
    <n v="20.8"/>
    <n v="83.2"/>
    <x v="33"/>
    <d v="2025-02-10T00:00:00"/>
    <x v="1"/>
    <x v="1"/>
    <x v="4"/>
    <x v="0"/>
    <x v="1"/>
    <x v="6"/>
    <x v="5"/>
    <x v="1"/>
  </r>
  <r>
    <x v="797"/>
    <x v="2"/>
    <x v="3"/>
    <n v="102.5"/>
    <n v="717.5"/>
    <x v="33"/>
    <d v="2025-02-04T00:00:00"/>
    <x v="2"/>
    <x v="4"/>
    <x v="2"/>
    <x v="0"/>
    <x v="3"/>
    <x v="3"/>
    <x v="5"/>
    <x v="2"/>
  </r>
  <r>
    <x v="798"/>
    <x v="0"/>
    <x v="16"/>
    <n v="24.8"/>
    <n v="446.40000000000003"/>
    <x v="33"/>
    <d v="2025-02-07T00:00:00"/>
    <x v="2"/>
    <x v="0"/>
    <x v="0"/>
    <x v="0"/>
    <x v="3"/>
    <x v="5"/>
    <x v="5"/>
    <x v="2"/>
  </r>
  <r>
    <x v="799"/>
    <x v="4"/>
    <x v="37"/>
    <n v="31.4"/>
    <n v="973.4"/>
    <x v="33"/>
    <d v="2025-02-04T00:00:00"/>
    <x v="2"/>
    <x v="3"/>
    <x v="0"/>
    <x v="0"/>
    <x v="3"/>
    <x v="3"/>
    <x v="5"/>
    <x v="2"/>
  </r>
  <r>
    <x v="800"/>
    <x v="9"/>
    <x v="9"/>
    <n v="59.3"/>
    <n v="296.5"/>
    <x v="33"/>
    <d v="2025-02-06T00:00:00"/>
    <x v="1"/>
    <x v="1"/>
    <x v="2"/>
    <x v="0"/>
    <x v="43"/>
    <x v="2"/>
    <x v="5"/>
    <x v="1"/>
  </r>
  <r>
    <x v="801"/>
    <x v="11"/>
    <x v="13"/>
    <n v="39"/>
    <n v="234"/>
    <x v="33"/>
    <d v="2025-02-06T00:00:00"/>
    <x v="1"/>
    <x v="1"/>
    <x v="0"/>
    <x v="0"/>
    <x v="6"/>
    <x v="2"/>
    <x v="5"/>
    <x v="1"/>
  </r>
  <r>
    <x v="802"/>
    <x v="5"/>
    <x v="13"/>
    <n v="98.6"/>
    <n v="591.59999999999991"/>
    <x v="33"/>
    <d v="2025-02-05T00:00:00"/>
    <x v="2"/>
    <x v="1"/>
    <x v="0"/>
    <x v="0"/>
    <x v="6"/>
    <x v="1"/>
    <x v="5"/>
    <x v="2"/>
  </r>
  <r>
    <x v="803"/>
    <x v="8"/>
    <x v="0"/>
    <n v="20"/>
    <n v="20"/>
    <x v="34"/>
    <d v="2025-02-05T00:00:00"/>
    <x v="1"/>
    <x v="3"/>
    <x v="2"/>
    <x v="0"/>
    <x v="8"/>
    <x v="3"/>
    <x v="5"/>
    <x v="1"/>
  </r>
  <r>
    <x v="804"/>
    <x v="1"/>
    <x v="1"/>
    <n v="42.9"/>
    <n v="85.8"/>
    <x v="34"/>
    <d v="2025-02-06T00:00:00"/>
    <x v="2"/>
    <x v="0"/>
    <x v="2"/>
    <x v="0"/>
    <x v="8"/>
    <x v="1"/>
    <x v="5"/>
    <x v="2"/>
  </r>
  <r>
    <x v="805"/>
    <x v="7"/>
    <x v="3"/>
    <n v="55.6"/>
    <n v="389.2"/>
    <x v="34"/>
    <d v="2025-02-06T00:00:00"/>
    <x v="2"/>
    <x v="2"/>
    <x v="1"/>
    <x v="0"/>
    <x v="8"/>
    <x v="1"/>
    <x v="5"/>
    <x v="2"/>
  </r>
  <r>
    <x v="806"/>
    <x v="8"/>
    <x v="12"/>
    <n v="19.2"/>
    <n v="76.8"/>
    <x v="34"/>
    <d v="2025-02-09T00:00:00"/>
    <x v="2"/>
    <x v="0"/>
    <x v="0"/>
    <x v="0"/>
    <x v="41"/>
    <x v="0"/>
    <x v="5"/>
    <x v="2"/>
  </r>
  <r>
    <x v="807"/>
    <x v="5"/>
    <x v="1"/>
    <n v="28.8"/>
    <n v="57.6"/>
    <x v="34"/>
    <d v="2025-02-06T00:00:00"/>
    <x v="1"/>
    <x v="1"/>
    <x v="0"/>
    <x v="0"/>
    <x v="18"/>
    <x v="1"/>
    <x v="5"/>
    <x v="1"/>
  </r>
  <r>
    <x v="808"/>
    <x v="4"/>
    <x v="0"/>
    <n v="29.7"/>
    <n v="29.7"/>
    <x v="34"/>
    <d v="2025-02-06T00:00:00"/>
    <x v="2"/>
    <x v="2"/>
    <x v="4"/>
    <x v="0"/>
    <x v="20"/>
    <x v="1"/>
    <x v="5"/>
    <x v="2"/>
  </r>
  <r>
    <x v="809"/>
    <x v="6"/>
    <x v="13"/>
    <n v="63.3"/>
    <n v="379.79999999999995"/>
    <x v="34"/>
    <d v="2025-02-05T00:00:00"/>
    <x v="0"/>
    <x v="0"/>
    <x v="2"/>
    <x v="0"/>
    <x v="21"/>
    <x v="3"/>
    <x v="5"/>
    <x v="0"/>
  </r>
  <r>
    <x v="810"/>
    <x v="4"/>
    <x v="0"/>
    <n v="46"/>
    <n v="46"/>
    <x v="34"/>
    <d v="2025-02-05T00:00:00"/>
    <x v="2"/>
    <x v="0"/>
    <x v="2"/>
    <x v="0"/>
    <x v="21"/>
    <x v="3"/>
    <x v="5"/>
    <x v="2"/>
  </r>
  <r>
    <x v="811"/>
    <x v="11"/>
    <x v="2"/>
    <n v="38"/>
    <n v="114"/>
    <x v="34"/>
    <d v="2025-02-06T00:00:00"/>
    <x v="2"/>
    <x v="1"/>
    <x v="2"/>
    <x v="0"/>
    <x v="21"/>
    <x v="1"/>
    <x v="5"/>
    <x v="2"/>
  </r>
  <r>
    <x v="812"/>
    <x v="10"/>
    <x v="15"/>
    <n v="34.6"/>
    <n v="449.8"/>
    <x v="34"/>
    <d v="2025-02-06T00:00:00"/>
    <x v="2"/>
    <x v="0"/>
    <x v="1"/>
    <x v="0"/>
    <x v="21"/>
    <x v="1"/>
    <x v="5"/>
    <x v="2"/>
  </r>
  <r>
    <x v="813"/>
    <x v="3"/>
    <x v="7"/>
    <n v="79.7"/>
    <n v="797"/>
    <x v="34"/>
    <d v="2025-02-05T00:00:00"/>
    <x v="2"/>
    <x v="4"/>
    <x v="1"/>
    <x v="0"/>
    <x v="21"/>
    <x v="3"/>
    <x v="5"/>
    <x v="2"/>
  </r>
  <r>
    <x v="814"/>
    <x v="8"/>
    <x v="8"/>
    <n v="30.5"/>
    <n v="244"/>
    <x v="34"/>
    <d v="2025-02-08T00:00:00"/>
    <x v="1"/>
    <x v="3"/>
    <x v="0"/>
    <x v="0"/>
    <x v="1"/>
    <x v="5"/>
    <x v="5"/>
    <x v="1"/>
  </r>
  <r>
    <x v="815"/>
    <x v="0"/>
    <x v="1"/>
    <n v="20.8"/>
    <n v="41.6"/>
    <x v="34"/>
    <d v="2025-02-05T00:00:00"/>
    <x v="2"/>
    <x v="0"/>
    <x v="0"/>
    <x v="0"/>
    <x v="2"/>
    <x v="3"/>
    <x v="5"/>
    <x v="2"/>
  </r>
  <r>
    <x v="816"/>
    <x v="11"/>
    <x v="3"/>
    <n v="48.5"/>
    <n v="339.5"/>
    <x v="34"/>
    <d v="2025-02-08T00:00:00"/>
    <x v="2"/>
    <x v="2"/>
    <x v="2"/>
    <x v="0"/>
    <x v="2"/>
    <x v="5"/>
    <x v="5"/>
    <x v="2"/>
  </r>
  <r>
    <x v="817"/>
    <x v="2"/>
    <x v="12"/>
    <n v="61.8"/>
    <n v="247.2"/>
    <x v="34"/>
    <d v="2025-02-08T00:00:00"/>
    <x v="2"/>
    <x v="4"/>
    <x v="0"/>
    <x v="0"/>
    <x v="22"/>
    <x v="5"/>
    <x v="5"/>
    <x v="2"/>
  </r>
  <r>
    <x v="818"/>
    <x v="10"/>
    <x v="0"/>
    <n v="46.1"/>
    <n v="46.1"/>
    <x v="34"/>
    <d v="2025-02-05T00:00:00"/>
    <x v="3"/>
    <x v="2"/>
    <x v="0"/>
    <x v="0"/>
    <x v="3"/>
    <x v="3"/>
    <x v="5"/>
    <x v="3"/>
  </r>
  <r>
    <x v="819"/>
    <x v="4"/>
    <x v="13"/>
    <n v="44"/>
    <n v="264"/>
    <x v="34"/>
    <d v="2025-02-05T00:00:00"/>
    <x v="2"/>
    <x v="0"/>
    <x v="0"/>
    <x v="0"/>
    <x v="3"/>
    <x v="3"/>
    <x v="5"/>
    <x v="2"/>
  </r>
  <r>
    <x v="820"/>
    <x v="18"/>
    <x v="1"/>
    <n v="95.7"/>
    <n v="191.4"/>
    <x v="34"/>
    <d v="2025-02-10T00:00:00"/>
    <x v="2"/>
    <x v="3"/>
    <x v="2"/>
    <x v="0"/>
    <x v="3"/>
    <x v="4"/>
    <x v="5"/>
    <x v="2"/>
  </r>
  <r>
    <x v="821"/>
    <x v="7"/>
    <x v="9"/>
    <n v="46.4"/>
    <n v="232"/>
    <x v="34"/>
    <d v="2025-02-07T00:00:00"/>
    <x v="2"/>
    <x v="0"/>
    <x v="0"/>
    <x v="0"/>
    <x v="3"/>
    <x v="2"/>
    <x v="5"/>
    <x v="2"/>
  </r>
  <r>
    <x v="822"/>
    <x v="6"/>
    <x v="1"/>
    <n v="47.2"/>
    <n v="94.4"/>
    <x v="34"/>
    <d v="2025-02-06T00:00:00"/>
    <x v="2"/>
    <x v="0"/>
    <x v="2"/>
    <x v="0"/>
    <x v="3"/>
    <x v="1"/>
    <x v="5"/>
    <x v="2"/>
  </r>
  <r>
    <x v="823"/>
    <x v="7"/>
    <x v="1"/>
    <n v="58.6"/>
    <n v="117.2"/>
    <x v="34"/>
    <d v="2025-02-05T00:00:00"/>
    <x v="2"/>
    <x v="2"/>
    <x v="1"/>
    <x v="0"/>
    <x v="3"/>
    <x v="3"/>
    <x v="5"/>
    <x v="2"/>
  </r>
  <r>
    <x v="824"/>
    <x v="4"/>
    <x v="2"/>
    <n v="57"/>
    <n v="171"/>
    <x v="34"/>
    <d v="2025-02-05T00:00:00"/>
    <x v="1"/>
    <x v="0"/>
    <x v="2"/>
    <x v="0"/>
    <x v="3"/>
    <x v="3"/>
    <x v="5"/>
    <x v="1"/>
  </r>
  <r>
    <x v="825"/>
    <x v="8"/>
    <x v="12"/>
    <n v="28.9"/>
    <n v="115.6"/>
    <x v="34"/>
    <d v="2025-02-08T00:00:00"/>
    <x v="1"/>
    <x v="2"/>
    <x v="0"/>
    <x v="0"/>
    <x v="3"/>
    <x v="5"/>
    <x v="5"/>
    <x v="1"/>
  </r>
  <r>
    <x v="826"/>
    <x v="12"/>
    <x v="9"/>
    <n v="60.7"/>
    <n v="303.5"/>
    <x v="34"/>
    <d v="2025-02-08T00:00:00"/>
    <x v="0"/>
    <x v="1"/>
    <x v="1"/>
    <x v="0"/>
    <x v="3"/>
    <x v="5"/>
    <x v="5"/>
    <x v="0"/>
  </r>
  <r>
    <x v="827"/>
    <x v="6"/>
    <x v="9"/>
    <n v="60.8"/>
    <n v="304"/>
    <x v="34"/>
    <d v="2025-02-08T00:00:00"/>
    <x v="1"/>
    <x v="0"/>
    <x v="1"/>
    <x v="0"/>
    <x v="3"/>
    <x v="5"/>
    <x v="5"/>
    <x v="1"/>
  </r>
  <r>
    <x v="828"/>
    <x v="6"/>
    <x v="9"/>
    <n v="64.599999999999994"/>
    <n v="323"/>
    <x v="34"/>
    <d v="2025-02-05T00:00:00"/>
    <x v="2"/>
    <x v="3"/>
    <x v="0"/>
    <x v="0"/>
    <x v="3"/>
    <x v="3"/>
    <x v="5"/>
    <x v="2"/>
  </r>
  <r>
    <x v="829"/>
    <x v="8"/>
    <x v="0"/>
    <n v="21.9"/>
    <n v="21.9"/>
    <x v="34"/>
    <d v="2025-02-07T00:00:00"/>
    <x v="1"/>
    <x v="1"/>
    <x v="2"/>
    <x v="0"/>
    <x v="4"/>
    <x v="2"/>
    <x v="5"/>
    <x v="1"/>
  </r>
  <r>
    <x v="830"/>
    <x v="4"/>
    <x v="4"/>
    <n v="33.4"/>
    <n v="400.79999999999995"/>
    <x v="34"/>
    <d v="2025-02-06T00:00:00"/>
    <x v="2"/>
    <x v="0"/>
    <x v="0"/>
    <x v="0"/>
    <x v="23"/>
    <x v="1"/>
    <x v="5"/>
    <x v="2"/>
  </r>
  <r>
    <x v="831"/>
    <x v="2"/>
    <x v="0"/>
    <n v="51.7"/>
    <n v="51.7"/>
    <x v="34"/>
    <d v="2025-02-05T00:00:00"/>
    <x v="0"/>
    <x v="0"/>
    <x v="0"/>
    <x v="0"/>
    <x v="6"/>
    <x v="3"/>
    <x v="5"/>
    <x v="0"/>
  </r>
  <r>
    <x v="832"/>
    <x v="1"/>
    <x v="12"/>
    <n v="84.9"/>
    <n v="339.6"/>
    <x v="34"/>
    <d v="2025-02-05T00:00:00"/>
    <x v="2"/>
    <x v="1"/>
    <x v="1"/>
    <x v="0"/>
    <x v="6"/>
    <x v="3"/>
    <x v="5"/>
    <x v="2"/>
  </r>
  <r>
    <x v="833"/>
    <x v="1"/>
    <x v="5"/>
    <n v="62.3"/>
    <n v="685.3"/>
    <x v="34"/>
    <d v="2025-02-05T00:00:00"/>
    <x v="2"/>
    <x v="2"/>
    <x v="2"/>
    <x v="0"/>
    <x v="7"/>
    <x v="3"/>
    <x v="5"/>
    <x v="2"/>
  </r>
  <r>
    <x v="834"/>
    <x v="4"/>
    <x v="0"/>
    <n v="50.7"/>
    <n v="50.7"/>
    <x v="34"/>
    <d v="2025-02-06T00:00:00"/>
    <x v="1"/>
    <x v="2"/>
    <x v="2"/>
    <x v="0"/>
    <x v="8"/>
    <x v="1"/>
    <x v="5"/>
    <x v="1"/>
  </r>
  <r>
    <x v="835"/>
    <x v="18"/>
    <x v="0"/>
    <n v="39.5"/>
    <n v="39.5"/>
    <x v="34"/>
    <d v="2025-02-05T00:00:00"/>
    <x v="1"/>
    <x v="4"/>
    <x v="1"/>
    <x v="0"/>
    <x v="8"/>
    <x v="3"/>
    <x v="5"/>
    <x v="1"/>
  </r>
  <r>
    <x v="836"/>
    <x v="12"/>
    <x v="2"/>
    <n v="30.9"/>
    <n v="92.699999999999989"/>
    <x v="34"/>
    <d v="2025-02-05T00:00:00"/>
    <x v="0"/>
    <x v="4"/>
    <x v="2"/>
    <x v="0"/>
    <x v="8"/>
    <x v="3"/>
    <x v="5"/>
    <x v="0"/>
  </r>
  <r>
    <x v="837"/>
    <x v="1"/>
    <x v="3"/>
    <n v="36.4"/>
    <n v="254.79999999999998"/>
    <x v="34"/>
    <d v="2025-02-07T00:00:00"/>
    <x v="2"/>
    <x v="0"/>
    <x v="2"/>
    <x v="0"/>
    <x v="8"/>
    <x v="2"/>
    <x v="5"/>
    <x v="2"/>
  </r>
  <r>
    <x v="838"/>
    <x v="6"/>
    <x v="8"/>
    <n v="105.6"/>
    <n v="844.8"/>
    <x v="34"/>
    <d v="2025-02-14T00:00:00"/>
    <x v="2"/>
    <x v="0"/>
    <x v="0"/>
    <x v="0"/>
    <x v="8"/>
    <x v="14"/>
    <x v="5"/>
    <x v="2"/>
  </r>
  <r>
    <x v="839"/>
    <x v="8"/>
    <x v="1"/>
    <n v="22.1"/>
    <n v="44.2"/>
    <x v="34"/>
    <d v="2025-02-05T00:00:00"/>
    <x v="2"/>
    <x v="0"/>
    <x v="2"/>
    <x v="0"/>
    <x v="17"/>
    <x v="3"/>
    <x v="5"/>
    <x v="2"/>
  </r>
  <r>
    <x v="840"/>
    <x v="0"/>
    <x v="2"/>
    <n v="22.6"/>
    <n v="67.800000000000011"/>
    <x v="34"/>
    <d v="2025-02-05T00:00:00"/>
    <x v="2"/>
    <x v="2"/>
    <x v="0"/>
    <x v="0"/>
    <x v="17"/>
    <x v="3"/>
    <x v="5"/>
    <x v="2"/>
  </r>
  <r>
    <x v="841"/>
    <x v="10"/>
    <x v="13"/>
    <n v="26.3"/>
    <n v="157.80000000000001"/>
    <x v="34"/>
    <d v="2025-02-04T00:00:00"/>
    <x v="2"/>
    <x v="2"/>
    <x v="0"/>
    <x v="0"/>
    <x v="9"/>
    <x v="7"/>
    <x v="5"/>
    <x v="2"/>
  </r>
  <r>
    <x v="842"/>
    <x v="1"/>
    <x v="12"/>
    <n v="37.799999999999997"/>
    <n v="151.19999999999999"/>
    <x v="34"/>
    <d v="2025-02-05T00:00:00"/>
    <x v="2"/>
    <x v="0"/>
    <x v="2"/>
    <x v="0"/>
    <x v="11"/>
    <x v="3"/>
    <x v="5"/>
    <x v="2"/>
  </r>
  <r>
    <x v="843"/>
    <x v="6"/>
    <x v="14"/>
    <n v="96"/>
    <n v="1632"/>
    <x v="34"/>
    <d v="2025-02-07T00:00:00"/>
    <x v="2"/>
    <x v="4"/>
    <x v="1"/>
    <x v="0"/>
    <x v="18"/>
    <x v="2"/>
    <x v="5"/>
    <x v="2"/>
  </r>
  <r>
    <x v="844"/>
    <x v="1"/>
    <x v="0"/>
    <n v="83.6"/>
    <n v="83.6"/>
    <x v="34"/>
    <d v="2025-02-07T00:00:00"/>
    <x v="2"/>
    <x v="2"/>
    <x v="1"/>
    <x v="0"/>
    <x v="19"/>
    <x v="2"/>
    <x v="5"/>
    <x v="2"/>
  </r>
  <r>
    <x v="845"/>
    <x v="2"/>
    <x v="13"/>
    <n v="72.599999999999994"/>
    <n v="435.59999999999997"/>
    <x v="34"/>
    <d v="2025-02-05T00:00:00"/>
    <x v="2"/>
    <x v="0"/>
    <x v="0"/>
    <x v="0"/>
    <x v="21"/>
    <x v="3"/>
    <x v="5"/>
    <x v="2"/>
  </r>
  <r>
    <x v="846"/>
    <x v="5"/>
    <x v="28"/>
    <n v="69.099999999999994"/>
    <n v="1382"/>
    <x v="35"/>
    <d v="2025-02-11T00:00:00"/>
    <x v="1"/>
    <x v="0"/>
    <x v="2"/>
    <x v="0"/>
    <x v="21"/>
    <x v="4"/>
    <x v="5"/>
    <x v="1"/>
  </r>
  <r>
    <x v="847"/>
    <x v="4"/>
    <x v="1"/>
    <n v="22.6"/>
    <n v="45.2"/>
    <x v="35"/>
    <d v="2025-02-07T00:00:00"/>
    <x v="2"/>
    <x v="1"/>
    <x v="2"/>
    <x v="0"/>
    <x v="21"/>
    <x v="1"/>
    <x v="5"/>
    <x v="2"/>
  </r>
  <r>
    <x v="848"/>
    <x v="6"/>
    <x v="1"/>
    <n v="45.3"/>
    <n v="90.6"/>
    <x v="35"/>
    <d v="2025-02-09T00:00:00"/>
    <x v="1"/>
    <x v="4"/>
    <x v="2"/>
    <x v="0"/>
    <x v="21"/>
    <x v="5"/>
    <x v="5"/>
    <x v="1"/>
  </r>
  <r>
    <x v="849"/>
    <x v="2"/>
    <x v="1"/>
    <n v="115.1"/>
    <n v="230.2"/>
    <x v="35"/>
    <d v="2025-02-06T00:00:00"/>
    <x v="2"/>
    <x v="1"/>
    <x v="0"/>
    <x v="0"/>
    <x v="1"/>
    <x v="3"/>
    <x v="5"/>
    <x v="2"/>
  </r>
  <r>
    <x v="850"/>
    <x v="18"/>
    <x v="12"/>
    <n v="79"/>
    <n v="316"/>
    <x v="35"/>
    <d v="2025-02-07T00:00:00"/>
    <x v="1"/>
    <x v="2"/>
    <x v="4"/>
    <x v="0"/>
    <x v="1"/>
    <x v="1"/>
    <x v="5"/>
    <x v="1"/>
  </r>
  <r>
    <x v="851"/>
    <x v="6"/>
    <x v="9"/>
    <n v="52.8"/>
    <n v="264"/>
    <x v="35"/>
    <d v="2025-02-06T00:00:00"/>
    <x v="2"/>
    <x v="0"/>
    <x v="0"/>
    <x v="0"/>
    <x v="42"/>
    <x v="3"/>
    <x v="5"/>
    <x v="2"/>
  </r>
  <r>
    <x v="852"/>
    <x v="8"/>
    <x v="1"/>
    <n v="34.1"/>
    <n v="68.2"/>
    <x v="35"/>
    <d v="2025-02-06T00:00:00"/>
    <x v="1"/>
    <x v="3"/>
    <x v="2"/>
    <x v="0"/>
    <x v="44"/>
    <x v="3"/>
    <x v="5"/>
    <x v="1"/>
  </r>
  <r>
    <x v="853"/>
    <x v="6"/>
    <x v="9"/>
    <n v="107.9"/>
    <n v="539.5"/>
    <x v="35"/>
    <d v="2025-02-05T00:00:00"/>
    <x v="2"/>
    <x v="0"/>
    <x v="2"/>
    <x v="0"/>
    <x v="50"/>
    <x v="7"/>
    <x v="5"/>
    <x v="2"/>
  </r>
  <r>
    <x v="854"/>
    <x v="8"/>
    <x v="15"/>
    <n v="48.5"/>
    <n v="630.5"/>
    <x v="35"/>
    <d v="2025-02-05T00:00:00"/>
    <x v="1"/>
    <x v="2"/>
    <x v="2"/>
    <x v="0"/>
    <x v="3"/>
    <x v="7"/>
    <x v="5"/>
    <x v="1"/>
  </r>
  <r>
    <x v="855"/>
    <x v="5"/>
    <x v="2"/>
    <n v="34.700000000000003"/>
    <n v="104.10000000000001"/>
    <x v="35"/>
    <d v="2025-02-06T00:00:00"/>
    <x v="0"/>
    <x v="4"/>
    <x v="1"/>
    <x v="0"/>
    <x v="3"/>
    <x v="3"/>
    <x v="5"/>
    <x v="0"/>
  </r>
  <r>
    <x v="856"/>
    <x v="8"/>
    <x v="0"/>
    <n v="16.8"/>
    <n v="16.8"/>
    <x v="35"/>
    <d v="2025-02-07T00:00:00"/>
    <x v="2"/>
    <x v="3"/>
    <x v="0"/>
    <x v="0"/>
    <x v="3"/>
    <x v="1"/>
    <x v="5"/>
    <x v="2"/>
  </r>
  <r>
    <x v="857"/>
    <x v="8"/>
    <x v="13"/>
    <n v="18.3"/>
    <n v="109.80000000000001"/>
    <x v="35"/>
    <d v="2025-02-08T00:00:00"/>
    <x v="2"/>
    <x v="0"/>
    <x v="0"/>
    <x v="0"/>
    <x v="3"/>
    <x v="2"/>
    <x v="5"/>
    <x v="2"/>
  </r>
  <r>
    <x v="858"/>
    <x v="18"/>
    <x v="2"/>
    <n v="55.9"/>
    <n v="167.7"/>
    <x v="35"/>
    <d v="2025-02-11T00:00:00"/>
    <x v="1"/>
    <x v="3"/>
    <x v="1"/>
    <x v="0"/>
    <x v="3"/>
    <x v="4"/>
    <x v="5"/>
    <x v="1"/>
  </r>
  <r>
    <x v="859"/>
    <x v="8"/>
    <x v="2"/>
    <n v="39.200000000000003"/>
    <n v="117.60000000000001"/>
    <x v="35"/>
    <d v="2025-02-07T00:00:00"/>
    <x v="2"/>
    <x v="0"/>
    <x v="1"/>
    <x v="0"/>
    <x v="3"/>
    <x v="1"/>
    <x v="5"/>
    <x v="2"/>
  </r>
  <r>
    <x v="860"/>
    <x v="15"/>
    <x v="12"/>
    <n v="66.5"/>
    <n v="266"/>
    <x v="35"/>
    <d v="2025-02-07T00:00:00"/>
    <x v="0"/>
    <x v="3"/>
    <x v="1"/>
    <x v="0"/>
    <x v="3"/>
    <x v="1"/>
    <x v="5"/>
    <x v="0"/>
  </r>
  <r>
    <x v="861"/>
    <x v="6"/>
    <x v="13"/>
    <n v="52.1"/>
    <n v="312.60000000000002"/>
    <x v="35"/>
    <d v="2025-02-07T00:00:00"/>
    <x v="1"/>
    <x v="1"/>
    <x v="1"/>
    <x v="0"/>
    <x v="16"/>
    <x v="1"/>
    <x v="5"/>
    <x v="1"/>
  </r>
  <r>
    <x v="862"/>
    <x v="8"/>
    <x v="1"/>
    <n v="19"/>
    <n v="38"/>
    <x v="35"/>
    <d v="2025-02-06T00:00:00"/>
    <x v="1"/>
    <x v="4"/>
    <x v="2"/>
    <x v="0"/>
    <x v="6"/>
    <x v="3"/>
    <x v="5"/>
    <x v="1"/>
  </r>
  <r>
    <x v="863"/>
    <x v="7"/>
    <x v="2"/>
    <n v="84.8"/>
    <n v="254.39999999999998"/>
    <x v="35"/>
    <d v="2025-02-07T00:00:00"/>
    <x v="2"/>
    <x v="2"/>
    <x v="0"/>
    <x v="0"/>
    <x v="8"/>
    <x v="1"/>
    <x v="5"/>
    <x v="2"/>
  </r>
  <r>
    <x v="864"/>
    <x v="2"/>
    <x v="12"/>
    <n v="63.9"/>
    <n v="255.6"/>
    <x v="35"/>
    <d v="2025-02-08T00:00:00"/>
    <x v="2"/>
    <x v="0"/>
    <x v="0"/>
    <x v="0"/>
    <x v="8"/>
    <x v="2"/>
    <x v="5"/>
    <x v="2"/>
  </r>
  <r>
    <x v="865"/>
    <x v="2"/>
    <x v="2"/>
    <n v="65.5"/>
    <n v="196.5"/>
    <x v="35"/>
    <d v="2025-02-05T00:00:00"/>
    <x v="2"/>
    <x v="1"/>
    <x v="1"/>
    <x v="0"/>
    <x v="8"/>
    <x v="7"/>
    <x v="5"/>
    <x v="2"/>
  </r>
  <r>
    <x v="866"/>
    <x v="12"/>
    <x v="1"/>
    <n v="116.2"/>
    <n v="232.4"/>
    <x v="35"/>
    <d v="2025-02-11T00:00:00"/>
    <x v="1"/>
    <x v="3"/>
    <x v="0"/>
    <x v="0"/>
    <x v="17"/>
    <x v="4"/>
    <x v="5"/>
    <x v="1"/>
  </r>
  <r>
    <x v="867"/>
    <x v="10"/>
    <x v="12"/>
    <n v="22.9"/>
    <n v="91.6"/>
    <x v="35"/>
    <d v="2025-02-07T00:00:00"/>
    <x v="2"/>
    <x v="2"/>
    <x v="1"/>
    <x v="0"/>
    <x v="38"/>
    <x v="1"/>
    <x v="5"/>
    <x v="2"/>
  </r>
  <r>
    <x v="868"/>
    <x v="10"/>
    <x v="2"/>
    <n v="53.7"/>
    <n v="161.10000000000002"/>
    <x v="35"/>
    <d v="2025-02-06T00:00:00"/>
    <x v="1"/>
    <x v="0"/>
    <x v="4"/>
    <x v="0"/>
    <x v="18"/>
    <x v="3"/>
    <x v="5"/>
    <x v="1"/>
  </r>
  <r>
    <x v="869"/>
    <x v="6"/>
    <x v="9"/>
    <n v="43.2"/>
    <n v="216"/>
    <x v="35"/>
    <d v="2025-02-07T00:00:00"/>
    <x v="2"/>
    <x v="0"/>
    <x v="0"/>
    <x v="0"/>
    <x v="19"/>
    <x v="1"/>
    <x v="5"/>
    <x v="2"/>
  </r>
  <r>
    <x v="870"/>
    <x v="1"/>
    <x v="2"/>
    <n v="84.5"/>
    <n v="253.5"/>
    <x v="35"/>
    <d v="2025-02-07T00:00:00"/>
    <x v="1"/>
    <x v="2"/>
    <x v="2"/>
    <x v="0"/>
    <x v="51"/>
    <x v="1"/>
    <x v="5"/>
    <x v="1"/>
  </r>
  <r>
    <x v="871"/>
    <x v="3"/>
    <x v="1"/>
    <n v="42.2"/>
    <n v="84.4"/>
    <x v="35"/>
    <d v="2025-02-06T00:00:00"/>
    <x v="2"/>
    <x v="1"/>
    <x v="2"/>
    <x v="0"/>
    <x v="1"/>
    <x v="3"/>
    <x v="5"/>
    <x v="2"/>
  </r>
  <r>
    <x v="872"/>
    <x v="2"/>
    <x v="13"/>
    <n v="94.7"/>
    <n v="568.20000000000005"/>
    <x v="35"/>
    <d v="2025-02-08T00:00:00"/>
    <x v="2"/>
    <x v="1"/>
    <x v="2"/>
    <x v="0"/>
    <x v="2"/>
    <x v="2"/>
    <x v="5"/>
    <x v="2"/>
  </r>
  <r>
    <x v="873"/>
    <x v="8"/>
    <x v="16"/>
    <n v="16.7"/>
    <n v="300.59999999999997"/>
    <x v="35"/>
    <d v="2025-02-17T00:00:00"/>
    <x v="2"/>
    <x v="0"/>
    <x v="2"/>
    <x v="0"/>
    <x v="2"/>
    <x v="13"/>
    <x v="5"/>
    <x v="2"/>
  </r>
  <r>
    <x v="874"/>
    <x v="2"/>
    <x v="1"/>
    <n v="83.6"/>
    <n v="167.2"/>
    <x v="35"/>
    <d v="2025-02-11T00:00:00"/>
    <x v="2"/>
    <x v="1"/>
    <x v="0"/>
    <x v="0"/>
    <x v="3"/>
    <x v="4"/>
    <x v="5"/>
    <x v="2"/>
  </r>
  <r>
    <x v="875"/>
    <x v="7"/>
    <x v="13"/>
    <n v="33.6"/>
    <n v="201.60000000000002"/>
    <x v="36"/>
    <d v="2025-02-07T00:00:00"/>
    <x v="2"/>
    <x v="3"/>
    <x v="0"/>
    <x v="0"/>
    <x v="3"/>
    <x v="3"/>
    <x v="5"/>
    <x v="2"/>
  </r>
  <r>
    <x v="876"/>
    <x v="7"/>
    <x v="1"/>
    <n v="64.7"/>
    <n v="129.4"/>
    <x v="36"/>
    <d v="2025-02-08T00:00:00"/>
    <x v="1"/>
    <x v="1"/>
    <x v="2"/>
    <x v="0"/>
    <x v="3"/>
    <x v="1"/>
    <x v="5"/>
    <x v="1"/>
  </r>
  <r>
    <x v="877"/>
    <x v="0"/>
    <x v="2"/>
    <n v="15.7"/>
    <n v="47.099999999999994"/>
    <x v="36"/>
    <d v="2025-02-12T00:00:00"/>
    <x v="2"/>
    <x v="0"/>
    <x v="0"/>
    <x v="0"/>
    <x v="3"/>
    <x v="4"/>
    <x v="5"/>
    <x v="2"/>
  </r>
  <r>
    <x v="878"/>
    <x v="15"/>
    <x v="13"/>
    <n v="49.4"/>
    <n v="296.39999999999998"/>
    <x v="36"/>
    <d v="2025-02-06T00:00:00"/>
    <x v="1"/>
    <x v="1"/>
    <x v="0"/>
    <x v="0"/>
    <x v="3"/>
    <x v="7"/>
    <x v="5"/>
    <x v="1"/>
  </r>
  <r>
    <x v="879"/>
    <x v="10"/>
    <x v="13"/>
    <n v="37"/>
    <n v="222"/>
    <x v="36"/>
    <d v="2025-02-09T00:00:00"/>
    <x v="2"/>
    <x v="1"/>
    <x v="2"/>
    <x v="0"/>
    <x v="3"/>
    <x v="2"/>
    <x v="5"/>
    <x v="2"/>
  </r>
  <r>
    <x v="880"/>
    <x v="2"/>
    <x v="1"/>
    <n v="83.7"/>
    <n v="167.4"/>
    <x v="36"/>
    <d v="2025-02-08T00:00:00"/>
    <x v="2"/>
    <x v="3"/>
    <x v="2"/>
    <x v="0"/>
    <x v="3"/>
    <x v="1"/>
    <x v="5"/>
    <x v="2"/>
  </r>
  <r>
    <x v="881"/>
    <x v="1"/>
    <x v="9"/>
    <n v="35.1"/>
    <n v="175.5"/>
    <x v="36"/>
    <d v="2025-02-07T00:00:00"/>
    <x v="2"/>
    <x v="0"/>
    <x v="0"/>
    <x v="0"/>
    <x v="3"/>
    <x v="3"/>
    <x v="5"/>
    <x v="2"/>
  </r>
  <r>
    <x v="882"/>
    <x v="16"/>
    <x v="8"/>
    <n v="74"/>
    <n v="592"/>
    <x v="36"/>
    <d v="2025-02-07T00:00:00"/>
    <x v="2"/>
    <x v="4"/>
    <x v="0"/>
    <x v="0"/>
    <x v="37"/>
    <x v="3"/>
    <x v="5"/>
    <x v="2"/>
  </r>
  <r>
    <x v="883"/>
    <x v="6"/>
    <x v="25"/>
    <n v="55.5"/>
    <n v="1332"/>
    <x v="36"/>
    <d v="2025-02-09T00:00:00"/>
    <x v="1"/>
    <x v="3"/>
    <x v="0"/>
    <x v="0"/>
    <x v="49"/>
    <x v="2"/>
    <x v="5"/>
    <x v="1"/>
  </r>
  <r>
    <x v="884"/>
    <x v="11"/>
    <x v="1"/>
    <n v="38.9"/>
    <n v="77.8"/>
    <x v="36"/>
    <d v="2025-02-08T00:00:00"/>
    <x v="2"/>
    <x v="1"/>
    <x v="2"/>
    <x v="0"/>
    <x v="25"/>
    <x v="1"/>
    <x v="5"/>
    <x v="2"/>
  </r>
  <r>
    <x v="885"/>
    <x v="16"/>
    <x v="1"/>
    <n v="64.599999999999994"/>
    <n v="129.19999999999999"/>
    <x v="36"/>
    <d v="2025-02-13T00:00:00"/>
    <x v="1"/>
    <x v="2"/>
    <x v="1"/>
    <x v="0"/>
    <x v="25"/>
    <x v="6"/>
    <x v="5"/>
    <x v="1"/>
  </r>
  <r>
    <x v="886"/>
    <x v="2"/>
    <x v="2"/>
    <n v="95.3"/>
    <n v="285.89999999999998"/>
    <x v="36"/>
    <d v="2025-02-07T00:00:00"/>
    <x v="1"/>
    <x v="0"/>
    <x v="0"/>
    <x v="0"/>
    <x v="5"/>
    <x v="3"/>
    <x v="5"/>
    <x v="1"/>
  </r>
  <r>
    <x v="887"/>
    <x v="13"/>
    <x v="2"/>
    <n v="25.8"/>
    <n v="77.400000000000006"/>
    <x v="36"/>
    <d v="2025-02-07T00:00:00"/>
    <x v="2"/>
    <x v="1"/>
    <x v="1"/>
    <x v="0"/>
    <x v="6"/>
    <x v="3"/>
    <x v="5"/>
    <x v="2"/>
  </r>
  <r>
    <x v="888"/>
    <x v="0"/>
    <x v="1"/>
    <n v="11.6"/>
    <n v="23.2"/>
    <x v="36"/>
    <d v="2025-02-10T00:00:00"/>
    <x v="2"/>
    <x v="1"/>
    <x v="1"/>
    <x v="0"/>
    <x v="6"/>
    <x v="5"/>
    <x v="5"/>
    <x v="2"/>
  </r>
  <r>
    <x v="889"/>
    <x v="7"/>
    <x v="0"/>
    <n v="52.3"/>
    <n v="52.3"/>
    <x v="36"/>
    <d v="2025-02-07T00:00:00"/>
    <x v="2"/>
    <x v="1"/>
    <x v="0"/>
    <x v="0"/>
    <x v="8"/>
    <x v="3"/>
    <x v="5"/>
    <x v="2"/>
  </r>
  <r>
    <x v="890"/>
    <x v="2"/>
    <x v="7"/>
    <n v="112.2"/>
    <n v="1122"/>
    <x v="36"/>
    <d v="2025-02-07T00:00:00"/>
    <x v="2"/>
    <x v="1"/>
    <x v="1"/>
    <x v="0"/>
    <x v="8"/>
    <x v="3"/>
    <x v="5"/>
    <x v="2"/>
  </r>
  <r>
    <x v="891"/>
    <x v="4"/>
    <x v="9"/>
    <n v="34.6"/>
    <n v="173"/>
    <x v="36"/>
    <d v="2025-02-08T00:00:00"/>
    <x v="1"/>
    <x v="2"/>
    <x v="0"/>
    <x v="0"/>
    <x v="8"/>
    <x v="1"/>
    <x v="5"/>
    <x v="1"/>
  </r>
  <r>
    <x v="892"/>
    <x v="14"/>
    <x v="12"/>
    <n v="20.100000000000001"/>
    <n v="80.400000000000006"/>
    <x v="36"/>
    <d v="2025-02-12T00:00:00"/>
    <x v="1"/>
    <x v="1"/>
    <x v="2"/>
    <x v="0"/>
    <x v="8"/>
    <x v="4"/>
    <x v="5"/>
    <x v="1"/>
  </r>
  <r>
    <x v="893"/>
    <x v="2"/>
    <x v="12"/>
    <n v="56.4"/>
    <n v="225.6"/>
    <x v="36"/>
    <d v="2025-02-08T00:00:00"/>
    <x v="2"/>
    <x v="2"/>
    <x v="0"/>
    <x v="0"/>
    <x v="10"/>
    <x v="1"/>
    <x v="5"/>
    <x v="2"/>
  </r>
  <r>
    <x v="894"/>
    <x v="13"/>
    <x v="11"/>
    <n v="55.3"/>
    <n v="497.7"/>
    <x v="36"/>
    <d v="2025-02-08T00:00:00"/>
    <x v="2"/>
    <x v="1"/>
    <x v="4"/>
    <x v="0"/>
    <x v="11"/>
    <x v="1"/>
    <x v="5"/>
    <x v="2"/>
  </r>
  <r>
    <x v="895"/>
    <x v="2"/>
    <x v="31"/>
    <n v="75.5"/>
    <n v="2114"/>
    <x v="36"/>
    <d v="2025-02-07T00:00:00"/>
    <x v="2"/>
    <x v="0"/>
    <x v="0"/>
    <x v="0"/>
    <x v="11"/>
    <x v="3"/>
    <x v="5"/>
    <x v="2"/>
  </r>
  <r>
    <x v="896"/>
    <x v="8"/>
    <x v="0"/>
    <n v="23.6"/>
    <n v="23.6"/>
    <x v="36"/>
    <d v="2025-02-11T00:00:00"/>
    <x v="2"/>
    <x v="0"/>
    <x v="0"/>
    <x v="0"/>
    <x v="19"/>
    <x v="0"/>
    <x v="5"/>
    <x v="2"/>
  </r>
  <r>
    <x v="897"/>
    <x v="9"/>
    <x v="1"/>
    <n v="70.7"/>
    <n v="141.4"/>
    <x v="36"/>
    <d v="2025-02-08T00:00:00"/>
    <x v="2"/>
    <x v="2"/>
    <x v="0"/>
    <x v="0"/>
    <x v="19"/>
    <x v="1"/>
    <x v="5"/>
    <x v="2"/>
  </r>
  <r>
    <x v="898"/>
    <x v="12"/>
    <x v="1"/>
    <n v="43.2"/>
    <n v="86.4"/>
    <x v="36"/>
    <d v="2025-02-07T00:00:00"/>
    <x v="2"/>
    <x v="2"/>
    <x v="0"/>
    <x v="0"/>
    <x v="31"/>
    <x v="3"/>
    <x v="5"/>
    <x v="2"/>
  </r>
  <r>
    <x v="899"/>
    <x v="9"/>
    <x v="11"/>
    <n v="70"/>
    <n v="630"/>
    <x v="36"/>
    <d v="2025-02-07T00:00:00"/>
    <x v="0"/>
    <x v="1"/>
    <x v="0"/>
    <x v="0"/>
    <x v="52"/>
    <x v="3"/>
    <x v="5"/>
    <x v="0"/>
  </r>
  <r>
    <x v="900"/>
    <x v="0"/>
    <x v="1"/>
    <n v="20.5"/>
    <n v="41"/>
    <x v="36"/>
    <d v="2025-02-08T00:00:00"/>
    <x v="2"/>
    <x v="2"/>
    <x v="4"/>
    <x v="0"/>
    <x v="13"/>
    <x v="1"/>
    <x v="5"/>
    <x v="2"/>
  </r>
  <r>
    <x v="901"/>
    <x v="0"/>
    <x v="12"/>
    <n v="29.1"/>
    <n v="116.4"/>
    <x v="36"/>
    <d v="2025-02-07T00:00:00"/>
    <x v="2"/>
    <x v="3"/>
    <x v="0"/>
    <x v="0"/>
    <x v="28"/>
    <x v="3"/>
    <x v="5"/>
    <x v="2"/>
  </r>
  <r>
    <x v="902"/>
    <x v="6"/>
    <x v="11"/>
    <n v="53.6"/>
    <n v="482.40000000000003"/>
    <x v="36"/>
    <d v="2025-02-07T00:00:00"/>
    <x v="1"/>
    <x v="2"/>
    <x v="1"/>
    <x v="0"/>
    <x v="3"/>
    <x v="3"/>
    <x v="5"/>
    <x v="1"/>
  </r>
  <r>
    <x v="903"/>
    <x v="6"/>
    <x v="9"/>
    <n v="72.3"/>
    <n v="361.5"/>
    <x v="36"/>
    <d v="2025-02-08T00:00:00"/>
    <x v="2"/>
    <x v="1"/>
    <x v="0"/>
    <x v="0"/>
    <x v="3"/>
    <x v="1"/>
    <x v="5"/>
    <x v="2"/>
  </r>
  <r>
    <x v="904"/>
    <x v="13"/>
    <x v="12"/>
    <n v="22.6"/>
    <n v="90.4"/>
    <x v="36"/>
    <d v="2025-02-09T00:00:00"/>
    <x v="3"/>
    <x v="0"/>
    <x v="1"/>
    <x v="0"/>
    <x v="3"/>
    <x v="2"/>
    <x v="5"/>
    <x v="3"/>
  </r>
  <r>
    <x v="905"/>
    <x v="9"/>
    <x v="1"/>
    <n v="44.2"/>
    <n v="88.4"/>
    <x v="36"/>
    <d v="2025-02-10T00:00:00"/>
    <x v="0"/>
    <x v="2"/>
    <x v="4"/>
    <x v="0"/>
    <x v="3"/>
    <x v="5"/>
    <x v="5"/>
    <x v="0"/>
  </r>
  <r>
    <x v="906"/>
    <x v="9"/>
    <x v="2"/>
    <n v="94.1"/>
    <n v="282.29999999999995"/>
    <x v="36"/>
    <d v="2025-02-19T00:00:00"/>
    <x v="2"/>
    <x v="2"/>
    <x v="2"/>
    <x v="0"/>
    <x v="3"/>
    <x v="10"/>
    <x v="5"/>
    <x v="2"/>
  </r>
  <r>
    <x v="907"/>
    <x v="8"/>
    <x v="2"/>
    <n v="17.899999999999999"/>
    <n v="53.699999999999996"/>
    <x v="36"/>
    <d v="2025-02-08T00:00:00"/>
    <x v="1"/>
    <x v="1"/>
    <x v="1"/>
    <x v="0"/>
    <x v="3"/>
    <x v="1"/>
    <x v="5"/>
    <x v="1"/>
  </r>
  <r>
    <x v="908"/>
    <x v="12"/>
    <x v="3"/>
    <n v="52.7"/>
    <n v="368.90000000000003"/>
    <x v="36"/>
    <d v="2025-02-07T00:00:00"/>
    <x v="1"/>
    <x v="1"/>
    <x v="1"/>
    <x v="0"/>
    <x v="3"/>
    <x v="3"/>
    <x v="5"/>
    <x v="1"/>
  </r>
  <r>
    <x v="909"/>
    <x v="8"/>
    <x v="0"/>
    <n v="36.799999999999997"/>
    <n v="36.799999999999997"/>
    <x v="36"/>
    <d v="2025-02-06T00:00:00"/>
    <x v="0"/>
    <x v="0"/>
    <x v="2"/>
    <x v="0"/>
    <x v="3"/>
    <x v="7"/>
    <x v="5"/>
    <x v="0"/>
  </r>
  <r>
    <x v="910"/>
    <x v="4"/>
    <x v="0"/>
    <n v="52.5"/>
    <n v="52.5"/>
    <x v="36"/>
    <d v="2025-02-07T00:00:00"/>
    <x v="1"/>
    <x v="0"/>
    <x v="1"/>
    <x v="0"/>
    <x v="6"/>
    <x v="3"/>
    <x v="5"/>
    <x v="1"/>
  </r>
  <r>
    <x v="911"/>
    <x v="2"/>
    <x v="1"/>
    <n v="133.80000000000001"/>
    <n v="267.60000000000002"/>
    <x v="36"/>
    <d v="2025-02-08T00:00:00"/>
    <x v="1"/>
    <x v="0"/>
    <x v="1"/>
    <x v="0"/>
    <x v="7"/>
    <x v="1"/>
    <x v="5"/>
    <x v="1"/>
  </r>
  <r>
    <x v="912"/>
    <x v="6"/>
    <x v="1"/>
    <n v="53.2"/>
    <n v="106.4"/>
    <x v="36"/>
    <d v="2025-02-08T00:00:00"/>
    <x v="1"/>
    <x v="0"/>
    <x v="0"/>
    <x v="0"/>
    <x v="17"/>
    <x v="1"/>
    <x v="5"/>
    <x v="1"/>
  </r>
  <r>
    <x v="913"/>
    <x v="14"/>
    <x v="13"/>
    <n v="18.7"/>
    <n v="112.19999999999999"/>
    <x v="36"/>
    <d v="2025-02-08T00:00:00"/>
    <x v="0"/>
    <x v="0"/>
    <x v="1"/>
    <x v="0"/>
    <x v="10"/>
    <x v="1"/>
    <x v="5"/>
    <x v="0"/>
  </r>
  <r>
    <x v="914"/>
    <x v="6"/>
    <x v="12"/>
    <n v="108.8"/>
    <n v="435.2"/>
    <x v="36"/>
    <d v="2025-02-07T00:00:00"/>
    <x v="2"/>
    <x v="3"/>
    <x v="2"/>
    <x v="0"/>
    <x v="11"/>
    <x v="3"/>
    <x v="5"/>
    <x v="2"/>
  </r>
  <r>
    <x v="915"/>
    <x v="15"/>
    <x v="9"/>
    <n v="38.5"/>
    <n v="192.5"/>
    <x v="36"/>
    <d v="2025-02-10T00:00:00"/>
    <x v="2"/>
    <x v="0"/>
    <x v="1"/>
    <x v="0"/>
    <x v="14"/>
    <x v="5"/>
    <x v="5"/>
    <x v="2"/>
  </r>
  <r>
    <x v="916"/>
    <x v="10"/>
    <x v="7"/>
    <n v="46.5"/>
    <n v="465"/>
    <x v="36"/>
    <d v="2025-02-08T00:00:00"/>
    <x v="1"/>
    <x v="2"/>
    <x v="1"/>
    <x v="0"/>
    <x v="2"/>
    <x v="1"/>
    <x v="5"/>
    <x v="1"/>
  </r>
  <r>
    <x v="917"/>
    <x v="2"/>
    <x v="2"/>
    <n v="75.8"/>
    <n v="227.39999999999998"/>
    <x v="36"/>
    <d v="2025-02-10T00:00:00"/>
    <x v="2"/>
    <x v="1"/>
    <x v="4"/>
    <x v="0"/>
    <x v="44"/>
    <x v="5"/>
    <x v="5"/>
    <x v="2"/>
  </r>
  <r>
    <x v="918"/>
    <x v="8"/>
    <x v="0"/>
    <n v="20.9"/>
    <n v="20.9"/>
    <x v="36"/>
    <d v="2025-02-10T00:00:00"/>
    <x v="1"/>
    <x v="0"/>
    <x v="0"/>
    <x v="0"/>
    <x v="22"/>
    <x v="5"/>
    <x v="5"/>
    <x v="1"/>
  </r>
  <r>
    <x v="919"/>
    <x v="18"/>
    <x v="2"/>
    <n v="47.4"/>
    <n v="142.19999999999999"/>
    <x v="36"/>
    <d v="2025-02-09T00:00:00"/>
    <x v="2"/>
    <x v="0"/>
    <x v="0"/>
    <x v="0"/>
    <x v="3"/>
    <x v="2"/>
    <x v="5"/>
    <x v="2"/>
  </r>
  <r>
    <x v="920"/>
    <x v="9"/>
    <x v="1"/>
    <n v="53.8"/>
    <n v="107.6"/>
    <x v="36"/>
    <d v="2025-02-07T00:00:00"/>
    <x v="0"/>
    <x v="0"/>
    <x v="1"/>
    <x v="0"/>
    <x v="3"/>
    <x v="3"/>
    <x v="5"/>
    <x v="0"/>
  </r>
  <r>
    <x v="921"/>
    <x v="8"/>
    <x v="2"/>
    <n v="24.6"/>
    <n v="73.800000000000011"/>
    <x v="36"/>
    <d v="2025-02-08T00:00:00"/>
    <x v="3"/>
    <x v="1"/>
    <x v="2"/>
    <x v="0"/>
    <x v="3"/>
    <x v="1"/>
    <x v="5"/>
    <x v="3"/>
  </r>
  <r>
    <x v="922"/>
    <x v="9"/>
    <x v="2"/>
    <n v="70.900000000000006"/>
    <n v="212.70000000000002"/>
    <x v="36"/>
    <d v="2025-02-11T00:00:00"/>
    <x v="2"/>
    <x v="2"/>
    <x v="2"/>
    <x v="0"/>
    <x v="3"/>
    <x v="0"/>
    <x v="5"/>
    <x v="2"/>
  </r>
  <r>
    <x v="923"/>
    <x v="17"/>
    <x v="2"/>
    <n v="31.9"/>
    <n v="95.699999999999989"/>
    <x v="36"/>
    <d v="2025-02-08T00:00:00"/>
    <x v="2"/>
    <x v="2"/>
    <x v="2"/>
    <x v="0"/>
    <x v="3"/>
    <x v="1"/>
    <x v="5"/>
    <x v="2"/>
  </r>
  <r>
    <x v="924"/>
    <x v="0"/>
    <x v="1"/>
    <n v="20.399999999999999"/>
    <n v="40.799999999999997"/>
    <x v="36"/>
    <d v="2025-02-10T00:00:00"/>
    <x v="1"/>
    <x v="3"/>
    <x v="2"/>
    <x v="0"/>
    <x v="3"/>
    <x v="5"/>
    <x v="5"/>
    <x v="1"/>
  </r>
  <r>
    <x v="925"/>
    <x v="8"/>
    <x v="1"/>
    <n v="18.600000000000001"/>
    <n v="37.200000000000003"/>
    <x v="36"/>
    <d v="2025-02-08T00:00:00"/>
    <x v="0"/>
    <x v="0"/>
    <x v="1"/>
    <x v="0"/>
    <x v="3"/>
    <x v="1"/>
    <x v="5"/>
    <x v="0"/>
  </r>
  <r>
    <x v="926"/>
    <x v="4"/>
    <x v="9"/>
    <n v="48.3"/>
    <n v="241.5"/>
    <x v="36"/>
    <d v="2025-02-08T00:00:00"/>
    <x v="2"/>
    <x v="1"/>
    <x v="0"/>
    <x v="0"/>
    <x v="3"/>
    <x v="1"/>
    <x v="5"/>
    <x v="2"/>
  </r>
  <r>
    <x v="927"/>
    <x v="0"/>
    <x v="12"/>
    <n v="27.7"/>
    <n v="110.8"/>
    <x v="36"/>
    <d v="2025-02-08T00:00:00"/>
    <x v="2"/>
    <x v="0"/>
    <x v="0"/>
    <x v="0"/>
    <x v="3"/>
    <x v="1"/>
    <x v="5"/>
    <x v="2"/>
  </r>
  <r>
    <x v="928"/>
    <x v="4"/>
    <x v="9"/>
    <n v="22.5"/>
    <n v="112.5"/>
    <x v="36"/>
    <d v="2025-02-08T00:00:00"/>
    <x v="2"/>
    <x v="4"/>
    <x v="2"/>
    <x v="0"/>
    <x v="3"/>
    <x v="1"/>
    <x v="5"/>
    <x v="2"/>
  </r>
  <r>
    <x v="929"/>
    <x v="17"/>
    <x v="9"/>
    <n v="21.6"/>
    <n v="108"/>
    <x v="36"/>
    <d v="2025-02-14T00:00:00"/>
    <x v="2"/>
    <x v="0"/>
    <x v="1"/>
    <x v="0"/>
    <x v="3"/>
    <x v="9"/>
    <x v="5"/>
    <x v="2"/>
  </r>
  <r>
    <x v="930"/>
    <x v="10"/>
    <x v="3"/>
    <n v="26.3"/>
    <n v="184.1"/>
    <x v="36"/>
    <d v="2025-02-06T00:00:00"/>
    <x v="2"/>
    <x v="2"/>
    <x v="1"/>
    <x v="0"/>
    <x v="3"/>
    <x v="7"/>
    <x v="5"/>
    <x v="2"/>
  </r>
  <r>
    <x v="931"/>
    <x v="6"/>
    <x v="3"/>
    <n v="103"/>
    <n v="721"/>
    <x v="37"/>
    <d v="2025-02-08T00:00:00"/>
    <x v="1"/>
    <x v="0"/>
    <x v="2"/>
    <x v="0"/>
    <x v="6"/>
    <x v="3"/>
    <x v="5"/>
    <x v="1"/>
  </r>
  <r>
    <x v="932"/>
    <x v="5"/>
    <x v="20"/>
    <n v="46.6"/>
    <n v="699"/>
    <x v="37"/>
    <d v="2025-02-08T00:00:00"/>
    <x v="2"/>
    <x v="0"/>
    <x v="1"/>
    <x v="0"/>
    <x v="6"/>
    <x v="3"/>
    <x v="5"/>
    <x v="2"/>
  </r>
  <r>
    <x v="933"/>
    <x v="0"/>
    <x v="9"/>
    <n v="32.200000000000003"/>
    <n v="161"/>
    <x v="37"/>
    <d v="2025-02-10T00:00:00"/>
    <x v="2"/>
    <x v="0"/>
    <x v="2"/>
    <x v="0"/>
    <x v="36"/>
    <x v="2"/>
    <x v="5"/>
    <x v="2"/>
  </r>
  <r>
    <x v="934"/>
    <x v="8"/>
    <x v="2"/>
    <n v="22"/>
    <n v="66"/>
    <x v="37"/>
    <d v="2025-02-14T00:00:00"/>
    <x v="1"/>
    <x v="1"/>
    <x v="0"/>
    <x v="0"/>
    <x v="7"/>
    <x v="6"/>
    <x v="5"/>
    <x v="1"/>
  </r>
  <r>
    <x v="935"/>
    <x v="0"/>
    <x v="1"/>
    <n v="25.2"/>
    <n v="50.4"/>
    <x v="37"/>
    <d v="2025-02-11T00:00:00"/>
    <x v="2"/>
    <x v="0"/>
    <x v="0"/>
    <x v="0"/>
    <x v="7"/>
    <x v="5"/>
    <x v="5"/>
    <x v="2"/>
  </r>
  <r>
    <x v="936"/>
    <x v="1"/>
    <x v="13"/>
    <n v="68.7"/>
    <n v="412.20000000000005"/>
    <x v="37"/>
    <d v="2025-02-09T00:00:00"/>
    <x v="1"/>
    <x v="4"/>
    <x v="0"/>
    <x v="0"/>
    <x v="8"/>
    <x v="1"/>
    <x v="5"/>
    <x v="1"/>
  </r>
  <r>
    <x v="937"/>
    <x v="0"/>
    <x v="2"/>
    <n v="22.2"/>
    <n v="66.599999999999994"/>
    <x v="37"/>
    <d v="2025-02-10T00:00:00"/>
    <x v="1"/>
    <x v="2"/>
    <x v="2"/>
    <x v="0"/>
    <x v="8"/>
    <x v="2"/>
    <x v="5"/>
    <x v="1"/>
  </r>
  <r>
    <x v="938"/>
    <x v="1"/>
    <x v="3"/>
    <n v="36"/>
    <n v="252"/>
    <x v="37"/>
    <d v="2025-02-08T00:00:00"/>
    <x v="2"/>
    <x v="1"/>
    <x v="0"/>
    <x v="0"/>
    <x v="8"/>
    <x v="3"/>
    <x v="5"/>
    <x v="2"/>
  </r>
  <r>
    <x v="939"/>
    <x v="18"/>
    <x v="0"/>
    <n v="50.6"/>
    <n v="50.6"/>
    <x v="37"/>
    <d v="2025-02-09T00:00:00"/>
    <x v="2"/>
    <x v="0"/>
    <x v="1"/>
    <x v="0"/>
    <x v="8"/>
    <x v="1"/>
    <x v="5"/>
    <x v="2"/>
  </r>
  <r>
    <x v="940"/>
    <x v="15"/>
    <x v="1"/>
    <n v="44.9"/>
    <n v="89.8"/>
    <x v="37"/>
    <d v="2025-02-09T00:00:00"/>
    <x v="1"/>
    <x v="0"/>
    <x v="1"/>
    <x v="0"/>
    <x v="8"/>
    <x v="1"/>
    <x v="5"/>
    <x v="1"/>
  </r>
  <r>
    <x v="941"/>
    <x v="6"/>
    <x v="2"/>
    <n v="71.599999999999994"/>
    <n v="214.79999999999998"/>
    <x v="37"/>
    <d v="2025-02-11T00:00:00"/>
    <x v="1"/>
    <x v="1"/>
    <x v="2"/>
    <x v="0"/>
    <x v="10"/>
    <x v="5"/>
    <x v="5"/>
    <x v="1"/>
  </r>
  <r>
    <x v="942"/>
    <x v="6"/>
    <x v="13"/>
    <n v="51.5"/>
    <n v="309"/>
    <x v="37"/>
    <d v="2025-02-09T00:00:00"/>
    <x v="0"/>
    <x v="4"/>
    <x v="0"/>
    <x v="0"/>
    <x v="11"/>
    <x v="1"/>
    <x v="5"/>
    <x v="0"/>
  </r>
  <r>
    <x v="943"/>
    <x v="7"/>
    <x v="9"/>
    <n v="55.5"/>
    <n v="277.5"/>
    <x v="37"/>
    <d v="2025-02-08T00:00:00"/>
    <x v="1"/>
    <x v="1"/>
    <x v="1"/>
    <x v="0"/>
    <x v="11"/>
    <x v="3"/>
    <x v="5"/>
    <x v="1"/>
  </r>
  <r>
    <x v="944"/>
    <x v="6"/>
    <x v="0"/>
    <n v="51.7"/>
    <n v="51.7"/>
    <x v="37"/>
    <d v="2025-02-21T00:00:00"/>
    <x v="1"/>
    <x v="2"/>
    <x v="0"/>
    <x v="0"/>
    <x v="19"/>
    <x v="12"/>
    <x v="5"/>
    <x v="1"/>
  </r>
  <r>
    <x v="945"/>
    <x v="8"/>
    <x v="38"/>
    <n v="45.5"/>
    <n v="955.5"/>
    <x v="37"/>
    <d v="2025-02-08T00:00:00"/>
    <x v="2"/>
    <x v="3"/>
    <x v="2"/>
    <x v="0"/>
    <x v="19"/>
    <x v="3"/>
    <x v="5"/>
    <x v="2"/>
  </r>
  <r>
    <x v="946"/>
    <x v="8"/>
    <x v="1"/>
    <n v="33.799999999999997"/>
    <n v="67.599999999999994"/>
    <x v="37"/>
    <d v="2025-02-13T00:00:00"/>
    <x v="2"/>
    <x v="3"/>
    <x v="0"/>
    <x v="0"/>
    <x v="20"/>
    <x v="4"/>
    <x v="5"/>
    <x v="2"/>
  </r>
  <r>
    <x v="947"/>
    <x v="3"/>
    <x v="2"/>
    <n v="76.5"/>
    <n v="229.5"/>
    <x v="37"/>
    <d v="2025-02-08T00:00:00"/>
    <x v="2"/>
    <x v="0"/>
    <x v="1"/>
    <x v="0"/>
    <x v="21"/>
    <x v="3"/>
    <x v="5"/>
    <x v="2"/>
  </r>
  <r>
    <x v="948"/>
    <x v="9"/>
    <x v="2"/>
    <n v="42.6"/>
    <n v="127.80000000000001"/>
    <x v="37"/>
    <d v="2025-02-13T00:00:00"/>
    <x v="2"/>
    <x v="2"/>
    <x v="2"/>
    <x v="0"/>
    <x v="2"/>
    <x v="4"/>
    <x v="5"/>
    <x v="2"/>
  </r>
  <r>
    <x v="949"/>
    <x v="6"/>
    <x v="2"/>
    <n v="44.1"/>
    <n v="132.30000000000001"/>
    <x v="37"/>
    <d v="2025-02-09T00:00:00"/>
    <x v="2"/>
    <x v="1"/>
    <x v="1"/>
    <x v="0"/>
    <x v="22"/>
    <x v="1"/>
    <x v="5"/>
    <x v="2"/>
  </r>
  <r>
    <x v="950"/>
    <x v="8"/>
    <x v="1"/>
    <n v="40.9"/>
    <n v="81.8"/>
    <x v="37"/>
    <d v="2025-02-11T00:00:00"/>
    <x v="1"/>
    <x v="0"/>
    <x v="0"/>
    <x v="0"/>
    <x v="3"/>
    <x v="5"/>
    <x v="5"/>
    <x v="1"/>
  </r>
  <r>
    <x v="951"/>
    <x v="9"/>
    <x v="2"/>
    <n v="49.1"/>
    <n v="147.30000000000001"/>
    <x v="37"/>
    <d v="2025-02-11T00:00:00"/>
    <x v="2"/>
    <x v="3"/>
    <x v="1"/>
    <x v="0"/>
    <x v="3"/>
    <x v="5"/>
    <x v="5"/>
    <x v="2"/>
  </r>
  <r>
    <x v="952"/>
    <x v="18"/>
    <x v="0"/>
    <n v="85.3"/>
    <n v="85.3"/>
    <x v="37"/>
    <d v="2025-02-11T00:00:00"/>
    <x v="1"/>
    <x v="1"/>
    <x v="1"/>
    <x v="0"/>
    <x v="3"/>
    <x v="5"/>
    <x v="5"/>
    <x v="1"/>
  </r>
  <r>
    <x v="953"/>
    <x v="6"/>
    <x v="12"/>
    <n v="43.1"/>
    <n v="172.4"/>
    <x v="38"/>
    <d v="2025-02-11T00:00:00"/>
    <x v="1"/>
    <x v="0"/>
    <x v="0"/>
    <x v="0"/>
    <x v="3"/>
    <x v="2"/>
    <x v="5"/>
    <x v="1"/>
  </r>
  <r>
    <x v="954"/>
    <x v="4"/>
    <x v="12"/>
    <n v="46.2"/>
    <n v="184.8"/>
    <x v="38"/>
    <d v="2025-02-09T00:00:00"/>
    <x v="1"/>
    <x v="2"/>
    <x v="0"/>
    <x v="0"/>
    <x v="3"/>
    <x v="3"/>
    <x v="5"/>
    <x v="1"/>
  </r>
  <r>
    <x v="955"/>
    <x v="1"/>
    <x v="0"/>
    <n v="74.400000000000006"/>
    <n v="74.400000000000006"/>
    <x v="38"/>
    <d v="2025-02-10T00:00:00"/>
    <x v="1"/>
    <x v="4"/>
    <x v="2"/>
    <x v="0"/>
    <x v="3"/>
    <x v="1"/>
    <x v="5"/>
    <x v="1"/>
  </r>
  <r>
    <x v="956"/>
    <x v="17"/>
    <x v="1"/>
    <n v="51.2"/>
    <n v="102.4"/>
    <x v="38"/>
    <d v="2025-02-09T00:00:00"/>
    <x v="1"/>
    <x v="1"/>
    <x v="0"/>
    <x v="0"/>
    <x v="3"/>
    <x v="3"/>
    <x v="5"/>
    <x v="1"/>
  </r>
  <r>
    <x v="957"/>
    <x v="14"/>
    <x v="12"/>
    <n v="11.8"/>
    <n v="47.2"/>
    <x v="38"/>
    <d v="2025-02-08T00:00:00"/>
    <x v="1"/>
    <x v="2"/>
    <x v="0"/>
    <x v="0"/>
    <x v="3"/>
    <x v="7"/>
    <x v="5"/>
    <x v="1"/>
  </r>
  <r>
    <x v="958"/>
    <x v="10"/>
    <x v="6"/>
    <n v="40.799999999999997"/>
    <n v="1101.5999999999999"/>
    <x v="38"/>
    <d v="2025-02-09T00:00:00"/>
    <x v="2"/>
    <x v="3"/>
    <x v="2"/>
    <x v="0"/>
    <x v="3"/>
    <x v="3"/>
    <x v="5"/>
    <x v="2"/>
  </r>
  <r>
    <x v="959"/>
    <x v="8"/>
    <x v="0"/>
    <n v="24.7"/>
    <n v="24.7"/>
    <x v="38"/>
    <d v="2025-02-10T00:00:00"/>
    <x v="2"/>
    <x v="2"/>
    <x v="1"/>
    <x v="0"/>
    <x v="3"/>
    <x v="1"/>
    <x v="5"/>
    <x v="2"/>
  </r>
  <r>
    <x v="960"/>
    <x v="8"/>
    <x v="3"/>
    <n v="22.1"/>
    <n v="154.70000000000002"/>
    <x v="38"/>
    <d v="2025-02-08T00:00:00"/>
    <x v="2"/>
    <x v="2"/>
    <x v="4"/>
    <x v="0"/>
    <x v="3"/>
    <x v="7"/>
    <x v="5"/>
    <x v="2"/>
  </r>
  <r>
    <x v="961"/>
    <x v="8"/>
    <x v="0"/>
    <n v="18.100000000000001"/>
    <n v="18.100000000000001"/>
    <x v="38"/>
    <d v="2025-02-12T00:00:00"/>
    <x v="1"/>
    <x v="3"/>
    <x v="2"/>
    <x v="0"/>
    <x v="3"/>
    <x v="5"/>
    <x v="5"/>
    <x v="1"/>
  </r>
  <r>
    <x v="962"/>
    <x v="17"/>
    <x v="1"/>
    <n v="58.8"/>
    <n v="117.6"/>
    <x v="38"/>
    <d v="2025-02-11T00:00:00"/>
    <x v="2"/>
    <x v="0"/>
    <x v="0"/>
    <x v="0"/>
    <x v="25"/>
    <x v="2"/>
    <x v="5"/>
    <x v="2"/>
  </r>
  <r>
    <x v="963"/>
    <x v="18"/>
    <x v="1"/>
    <n v="30.8"/>
    <n v="61.6"/>
    <x v="38"/>
    <d v="2025-02-09T00:00:00"/>
    <x v="2"/>
    <x v="0"/>
    <x v="0"/>
    <x v="0"/>
    <x v="6"/>
    <x v="3"/>
    <x v="5"/>
    <x v="2"/>
  </r>
  <r>
    <x v="964"/>
    <x v="0"/>
    <x v="1"/>
    <n v="12"/>
    <n v="24"/>
    <x v="38"/>
    <d v="2025-02-12T00:00:00"/>
    <x v="2"/>
    <x v="0"/>
    <x v="0"/>
    <x v="0"/>
    <x v="6"/>
    <x v="5"/>
    <x v="5"/>
    <x v="2"/>
  </r>
  <r>
    <x v="965"/>
    <x v="0"/>
    <x v="12"/>
    <n v="13.6"/>
    <n v="54.4"/>
    <x v="38"/>
    <d v="2025-02-11T00:00:00"/>
    <x v="1"/>
    <x v="2"/>
    <x v="0"/>
    <x v="0"/>
    <x v="6"/>
    <x v="2"/>
    <x v="5"/>
    <x v="1"/>
  </r>
  <r>
    <x v="966"/>
    <x v="0"/>
    <x v="0"/>
    <n v="17.899999999999999"/>
    <n v="17.899999999999999"/>
    <x v="38"/>
    <d v="2025-02-09T00:00:00"/>
    <x v="1"/>
    <x v="3"/>
    <x v="0"/>
    <x v="0"/>
    <x v="6"/>
    <x v="3"/>
    <x v="5"/>
    <x v="1"/>
  </r>
  <r>
    <x v="967"/>
    <x v="9"/>
    <x v="1"/>
    <n v="38.6"/>
    <n v="77.2"/>
    <x v="38"/>
    <d v="2025-02-12T00:00:00"/>
    <x v="2"/>
    <x v="4"/>
    <x v="0"/>
    <x v="0"/>
    <x v="7"/>
    <x v="5"/>
    <x v="5"/>
    <x v="2"/>
  </r>
  <r>
    <x v="968"/>
    <x v="5"/>
    <x v="9"/>
    <n v="32.700000000000003"/>
    <n v="163.5"/>
    <x v="38"/>
    <d v="2025-02-09T00:00:00"/>
    <x v="1"/>
    <x v="2"/>
    <x v="2"/>
    <x v="0"/>
    <x v="8"/>
    <x v="3"/>
    <x v="5"/>
    <x v="1"/>
  </r>
  <r>
    <x v="969"/>
    <x v="3"/>
    <x v="1"/>
    <n v="111.4"/>
    <n v="222.8"/>
    <x v="38"/>
    <d v="2025-02-09T00:00:00"/>
    <x v="2"/>
    <x v="1"/>
    <x v="0"/>
    <x v="0"/>
    <x v="8"/>
    <x v="3"/>
    <x v="5"/>
    <x v="2"/>
  </r>
  <r>
    <x v="970"/>
    <x v="2"/>
    <x v="13"/>
    <n v="80.3"/>
    <n v="481.79999999999995"/>
    <x v="38"/>
    <d v="2025-02-10T00:00:00"/>
    <x v="2"/>
    <x v="1"/>
    <x v="0"/>
    <x v="0"/>
    <x v="8"/>
    <x v="1"/>
    <x v="5"/>
    <x v="2"/>
  </r>
  <r>
    <x v="971"/>
    <x v="6"/>
    <x v="1"/>
    <n v="58.9"/>
    <n v="117.8"/>
    <x v="38"/>
    <d v="2025-02-09T00:00:00"/>
    <x v="1"/>
    <x v="1"/>
    <x v="0"/>
    <x v="0"/>
    <x v="8"/>
    <x v="3"/>
    <x v="5"/>
    <x v="1"/>
  </r>
  <r>
    <x v="972"/>
    <x v="6"/>
    <x v="2"/>
    <n v="51.9"/>
    <n v="155.69999999999999"/>
    <x v="38"/>
    <d v="2025-02-10T00:00:00"/>
    <x v="2"/>
    <x v="1"/>
    <x v="4"/>
    <x v="0"/>
    <x v="8"/>
    <x v="1"/>
    <x v="5"/>
    <x v="2"/>
  </r>
  <r>
    <x v="973"/>
    <x v="2"/>
    <x v="2"/>
    <n v="50.3"/>
    <n v="150.89999999999998"/>
    <x v="38"/>
    <d v="2025-02-09T00:00:00"/>
    <x v="1"/>
    <x v="2"/>
    <x v="0"/>
    <x v="0"/>
    <x v="17"/>
    <x v="3"/>
    <x v="5"/>
    <x v="1"/>
  </r>
  <r>
    <x v="974"/>
    <x v="11"/>
    <x v="13"/>
    <n v="45"/>
    <n v="270"/>
    <x v="38"/>
    <d v="2025-02-14T00:00:00"/>
    <x v="2"/>
    <x v="3"/>
    <x v="0"/>
    <x v="0"/>
    <x v="9"/>
    <x v="4"/>
    <x v="5"/>
    <x v="2"/>
  </r>
  <r>
    <x v="975"/>
    <x v="10"/>
    <x v="13"/>
    <n v="44.7"/>
    <n v="268.20000000000005"/>
    <x v="38"/>
    <d v="2025-02-10T00:00:00"/>
    <x v="2"/>
    <x v="2"/>
    <x v="0"/>
    <x v="0"/>
    <x v="11"/>
    <x v="1"/>
    <x v="5"/>
    <x v="2"/>
  </r>
  <r>
    <x v="976"/>
    <x v="18"/>
    <x v="20"/>
    <n v="33"/>
    <n v="495"/>
    <x v="38"/>
    <d v="2025-02-09T00:00:00"/>
    <x v="2"/>
    <x v="2"/>
    <x v="0"/>
    <x v="0"/>
    <x v="11"/>
    <x v="3"/>
    <x v="5"/>
    <x v="2"/>
  </r>
  <r>
    <x v="977"/>
    <x v="1"/>
    <x v="9"/>
    <n v="44.9"/>
    <n v="224.5"/>
    <x v="38"/>
    <d v="2025-02-11T00:00:00"/>
    <x v="2"/>
    <x v="2"/>
    <x v="2"/>
    <x v="0"/>
    <x v="18"/>
    <x v="2"/>
    <x v="5"/>
    <x v="2"/>
  </r>
  <r>
    <x v="978"/>
    <x v="10"/>
    <x v="1"/>
    <n v="34.6"/>
    <n v="69.2"/>
    <x v="38"/>
    <d v="2025-02-12T00:00:00"/>
    <x v="2"/>
    <x v="0"/>
    <x v="1"/>
    <x v="0"/>
    <x v="19"/>
    <x v="5"/>
    <x v="5"/>
    <x v="2"/>
  </r>
  <r>
    <x v="979"/>
    <x v="7"/>
    <x v="3"/>
    <n v="47.1"/>
    <n v="329.7"/>
    <x v="38"/>
    <d v="2025-02-13T00:00:00"/>
    <x v="2"/>
    <x v="0"/>
    <x v="0"/>
    <x v="0"/>
    <x v="13"/>
    <x v="0"/>
    <x v="5"/>
    <x v="2"/>
  </r>
  <r>
    <x v="980"/>
    <x v="4"/>
    <x v="9"/>
    <n v="26.1"/>
    <n v="130.5"/>
    <x v="38"/>
    <d v="2025-02-13T00:00:00"/>
    <x v="1"/>
    <x v="0"/>
    <x v="2"/>
    <x v="0"/>
    <x v="21"/>
    <x v="0"/>
    <x v="5"/>
    <x v="1"/>
  </r>
  <r>
    <x v="981"/>
    <x v="12"/>
    <x v="9"/>
    <n v="66.8"/>
    <n v="334"/>
    <x v="38"/>
    <d v="2025-02-11T00:00:00"/>
    <x v="2"/>
    <x v="0"/>
    <x v="0"/>
    <x v="0"/>
    <x v="21"/>
    <x v="2"/>
    <x v="5"/>
    <x v="2"/>
  </r>
  <r>
    <x v="982"/>
    <x v="2"/>
    <x v="1"/>
    <n v="167.9"/>
    <n v="335.8"/>
    <x v="38"/>
    <d v="2025-02-09T00:00:00"/>
    <x v="2"/>
    <x v="3"/>
    <x v="2"/>
    <x v="0"/>
    <x v="21"/>
    <x v="3"/>
    <x v="5"/>
    <x v="2"/>
  </r>
  <r>
    <x v="983"/>
    <x v="10"/>
    <x v="11"/>
    <n v="34.6"/>
    <n v="311.40000000000003"/>
    <x v="38"/>
    <d v="2025-02-09T00:00:00"/>
    <x v="2"/>
    <x v="2"/>
    <x v="1"/>
    <x v="0"/>
    <x v="21"/>
    <x v="3"/>
    <x v="5"/>
    <x v="2"/>
  </r>
  <r>
    <x v="984"/>
    <x v="8"/>
    <x v="2"/>
    <n v="35.1"/>
    <n v="105.30000000000001"/>
    <x v="39"/>
    <d v="2025-02-13T00:00:00"/>
    <x v="1"/>
    <x v="4"/>
    <x v="2"/>
    <x v="0"/>
    <x v="1"/>
    <x v="5"/>
    <x v="6"/>
    <x v="1"/>
  </r>
  <r>
    <x v="985"/>
    <x v="6"/>
    <x v="12"/>
    <n v="104.5"/>
    <n v="418"/>
    <x v="39"/>
    <d v="2025-02-10T00:00:00"/>
    <x v="1"/>
    <x v="1"/>
    <x v="1"/>
    <x v="0"/>
    <x v="1"/>
    <x v="3"/>
    <x v="6"/>
    <x v="1"/>
  </r>
  <r>
    <x v="986"/>
    <x v="8"/>
    <x v="0"/>
    <n v="37.9"/>
    <n v="37.9"/>
    <x v="39"/>
    <d v="2025-02-11T00:00:00"/>
    <x v="0"/>
    <x v="1"/>
    <x v="2"/>
    <x v="0"/>
    <x v="2"/>
    <x v="1"/>
    <x v="6"/>
    <x v="0"/>
  </r>
  <r>
    <x v="987"/>
    <x v="4"/>
    <x v="2"/>
    <n v="25.5"/>
    <n v="76.5"/>
    <x v="39"/>
    <d v="2025-02-12T00:00:00"/>
    <x v="1"/>
    <x v="3"/>
    <x v="0"/>
    <x v="0"/>
    <x v="2"/>
    <x v="2"/>
    <x v="6"/>
    <x v="1"/>
  </r>
  <r>
    <x v="988"/>
    <x v="0"/>
    <x v="2"/>
    <n v="32"/>
    <n v="96"/>
    <x v="39"/>
    <d v="2025-02-13T00:00:00"/>
    <x v="2"/>
    <x v="1"/>
    <x v="0"/>
    <x v="0"/>
    <x v="22"/>
    <x v="5"/>
    <x v="6"/>
    <x v="2"/>
  </r>
  <r>
    <x v="989"/>
    <x v="1"/>
    <x v="0"/>
    <n v="47.1"/>
    <n v="47.1"/>
    <x v="39"/>
    <d v="2025-02-10T00:00:00"/>
    <x v="2"/>
    <x v="0"/>
    <x v="0"/>
    <x v="0"/>
    <x v="34"/>
    <x v="3"/>
    <x v="6"/>
    <x v="2"/>
  </r>
  <r>
    <x v="990"/>
    <x v="6"/>
    <x v="1"/>
    <n v="50.6"/>
    <n v="101.2"/>
    <x v="39"/>
    <d v="2025-02-15T00:00:00"/>
    <x v="0"/>
    <x v="0"/>
    <x v="0"/>
    <x v="0"/>
    <x v="3"/>
    <x v="4"/>
    <x v="6"/>
    <x v="0"/>
  </r>
  <r>
    <x v="991"/>
    <x v="6"/>
    <x v="9"/>
    <n v="81.7"/>
    <n v="408.5"/>
    <x v="39"/>
    <d v="2025-02-10T00:00:00"/>
    <x v="2"/>
    <x v="1"/>
    <x v="2"/>
    <x v="0"/>
    <x v="3"/>
    <x v="3"/>
    <x v="6"/>
    <x v="2"/>
  </r>
  <r>
    <x v="992"/>
    <x v="5"/>
    <x v="1"/>
    <n v="50.7"/>
    <n v="101.4"/>
    <x v="39"/>
    <d v="2025-02-10T00:00:00"/>
    <x v="3"/>
    <x v="2"/>
    <x v="2"/>
    <x v="0"/>
    <x v="3"/>
    <x v="3"/>
    <x v="6"/>
    <x v="3"/>
  </r>
  <r>
    <x v="993"/>
    <x v="2"/>
    <x v="10"/>
    <n v="67.3"/>
    <n v="1278.7"/>
    <x v="39"/>
    <d v="2025-02-13T00:00:00"/>
    <x v="2"/>
    <x v="2"/>
    <x v="0"/>
    <x v="0"/>
    <x v="3"/>
    <x v="5"/>
    <x v="6"/>
    <x v="2"/>
  </r>
  <r>
    <x v="994"/>
    <x v="2"/>
    <x v="12"/>
    <n v="64.8"/>
    <n v="259.2"/>
    <x v="39"/>
    <d v="2025-02-12T00:00:00"/>
    <x v="2"/>
    <x v="3"/>
    <x v="0"/>
    <x v="0"/>
    <x v="3"/>
    <x v="2"/>
    <x v="6"/>
    <x v="2"/>
  </r>
  <r>
    <x v="995"/>
    <x v="5"/>
    <x v="32"/>
    <n v="61.3"/>
    <n v="1348.6"/>
    <x v="39"/>
    <d v="2025-02-10T00:00:00"/>
    <x v="2"/>
    <x v="0"/>
    <x v="2"/>
    <x v="0"/>
    <x v="3"/>
    <x v="3"/>
    <x v="6"/>
    <x v="2"/>
  </r>
  <r>
    <x v="996"/>
    <x v="14"/>
    <x v="0"/>
    <n v="32.9"/>
    <n v="32.9"/>
    <x v="39"/>
    <d v="2025-02-12T00:00:00"/>
    <x v="2"/>
    <x v="4"/>
    <x v="0"/>
    <x v="0"/>
    <x v="3"/>
    <x v="2"/>
    <x v="6"/>
    <x v="2"/>
  </r>
  <r>
    <x v="997"/>
    <x v="6"/>
    <x v="1"/>
    <n v="100.8"/>
    <n v="201.6"/>
    <x v="39"/>
    <d v="2025-02-12T00:00:00"/>
    <x v="2"/>
    <x v="0"/>
    <x v="0"/>
    <x v="0"/>
    <x v="3"/>
    <x v="2"/>
    <x v="6"/>
    <x v="2"/>
  </r>
  <r>
    <x v="998"/>
    <x v="8"/>
    <x v="12"/>
    <n v="25.1"/>
    <n v="100.4"/>
    <x v="39"/>
    <d v="2025-02-11T00:00:00"/>
    <x v="2"/>
    <x v="1"/>
    <x v="0"/>
    <x v="0"/>
    <x v="3"/>
    <x v="1"/>
    <x v="6"/>
    <x v="2"/>
  </r>
  <r>
    <x v="999"/>
    <x v="17"/>
    <x v="0"/>
    <n v="48.5"/>
    <n v="48.5"/>
    <x v="39"/>
    <d v="2025-02-10T00:00:00"/>
    <x v="2"/>
    <x v="0"/>
    <x v="1"/>
    <x v="0"/>
    <x v="3"/>
    <x v="3"/>
    <x v="6"/>
    <x v="2"/>
  </r>
  <r>
    <x v="1000"/>
    <x v="7"/>
    <x v="1"/>
    <n v="33.6"/>
    <n v="67.2"/>
    <x v="39"/>
    <d v="2025-02-13T00:00:00"/>
    <x v="2"/>
    <x v="2"/>
    <x v="2"/>
    <x v="0"/>
    <x v="3"/>
    <x v="5"/>
    <x v="6"/>
    <x v="2"/>
  </r>
  <r>
    <x v="1001"/>
    <x v="8"/>
    <x v="0"/>
    <n v="39.299999999999997"/>
    <n v="39.299999999999997"/>
    <x v="39"/>
    <d v="2025-02-20T00:00:00"/>
    <x v="2"/>
    <x v="1"/>
    <x v="1"/>
    <x v="0"/>
    <x v="49"/>
    <x v="11"/>
    <x v="6"/>
    <x v="2"/>
  </r>
  <r>
    <x v="1002"/>
    <x v="4"/>
    <x v="7"/>
    <n v="48.8"/>
    <n v="488"/>
    <x v="39"/>
    <d v="2025-02-11T00:00:00"/>
    <x v="2"/>
    <x v="3"/>
    <x v="1"/>
    <x v="0"/>
    <x v="25"/>
    <x v="1"/>
    <x v="6"/>
    <x v="2"/>
  </r>
  <r>
    <x v="1003"/>
    <x v="6"/>
    <x v="8"/>
    <n v="72.8"/>
    <n v="582.4"/>
    <x v="39"/>
    <d v="2025-02-11T00:00:00"/>
    <x v="1"/>
    <x v="1"/>
    <x v="2"/>
    <x v="0"/>
    <x v="5"/>
    <x v="1"/>
    <x v="6"/>
    <x v="1"/>
  </r>
  <r>
    <x v="1004"/>
    <x v="10"/>
    <x v="8"/>
    <n v="46.2"/>
    <n v="369.6"/>
    <x v="39"/>
    <d v="2025-02-10T00:00:00"/>
    <x v="1"/>
    <x v="3"/>
    <x v="4"/>
    <x v="0"/>
    <x v="5"/>
    <x v="3"/>
    <x v="6"/>
    <x v="1"/>
  </r>
  <r>
    <x v="1005"/>
    <x v="4"/>
    <x v="1"/>
    <n v="20.7"/>
    <n v="41.4"/>
    <x v="39"/>
    <d v="2025-02-10T00:00:00"/>
    <x v="2"/>
    <x v="2"/>
    <x v="3"/>
    <x v="0"/>
    <x v="6"/>
    <x v="3"/>
    <x v="6"/>
    <x v="2"/>
  </r>
  <r>
    <x v="1006"/>
    <x v="0"/>
    <x v="0"/>
    <n v="35.700000000000003"/>
    <n v="35.700000000000003"/>
    <x v="39"/>
    <d v="2025-02-11T00:00:00"/>
    <x v="2"/>
    <x v="3"/>
    <x v="0"/>
    <x v="0"/>
    <x v="6"/>
    <x v="1"/>
    <x v="6"/>
    <x v="2"/>
  </r>
  <r>
    <x v="1007"/>
    <x v="2"/>
    <x v="27"/>
    <n v="166.2"/>
    <n v="2659.2"/>
    <x v="39"/>
    <d v="2025-02-11T00:00:00"/>
    <x v="0"/>
    <x v="2"/>
    <x v="0"/>
    <x v="0"/>
    <x v="7"/>
    <x v="1"/>
    <x v="6"/>
    <x v="0"/>
  </r>
  <r>
    <x v="1008"/>
    <x v="6"/>
    <x v="12"/>
    <n v="85.8"/>
    <n v="343.2"/>
    <x v="39"/>
    <d v="2025-02-10T00:00:00"/>
    <x v="2"/>
    <x v="1"/>
    <x v="1"/>
    <x v="0"/>
    <x v="7"/>
    <x v="3"/>
    <x v="6"/>
    <x v="2"/>
  </r>
  <r>
    <x v="1009"/>
    <x v="8"/>
    <x v="2"/>
    <n v="26"/>
    <n v="78"/>
    <x v="39"/>
    <d v="2025-02-11T00:00:00"/>
    <x v="3"/>
    <x v="1"/>
    <x v="0"/>
    <x v="0"/>
    <x v="7"/>
    <x v="1"/>
    <x v="6"/>
    <x v="3"/>
  </r>
  <r>
    <x v="1010"/>
    <x v="2"/>
    <x v="15"/>
    <n v="116.6"/>
    <n v="1515.8"/>
    <x v="39"/>
    <d v="2025-02-12T00:00:00"/>
    <x v="2"/>
    <x v="0"/>
    <x v="0"/>
    <x v="0"/>
    <x v="8"/>
    <x v="2"/>
    <x v="6"/>
    <x v="2"/>
  </r>
  <r>
    <x v="1011"/>
    <x v="9"/>
    <x v="3"/>
    <n v="53.9"/>
    <n v="377.3"/>
    <x v="39"/>
    <d v="2025-02-12T00:00:00"/>
    <x v="3"/>
    <x v="0"/>
    <x v="2"/>
    <x v="0"/>
    <x v="8"/>
    <x v="2"/>
    <x v="6"/>
    <x v="3"/>
  </r>
  <r>
    <x v="1012"/>
    <x v="12"/>
    <x v="9"/>
    <n v="72.3"/>
    <n v="361.5"/>
    <x v="39"/>
    <d v="2025-02-11T00:00:00"/>
    <x v="0"/>
    <x v="2"/>
    <x v="2"/>
    <x v="0"/>
    <x v="8"/>
    <x v="1"/>
    <x v="6"/>
    <x v="0"/>
  </r>
  <r>
    <x v="1013"/>
    <x v="5"/>
    <x v="1"/>
    <n v="31.4"/>
    <n v="62.8"/>
    <x v="39"/>
    <d v="2025-02-11T00:00:00"/>
    <x v="2"/>
    <x v="0"/>
    <x v="0"/>
    <x v="0"/>
    <x v="8"/>
    <x v="1"/>
    <x v="6"/>
    <x v="2"/>
  </r>
  <r>
    <x v="1014"/>
    <x v="13"/>
    <x v="1"/>
    <n v="53.1"/>
    <n v="106.2"/>
    <x v="39"/>
    <d v="2025-02-12T00:00:00"/>
    <x v="1"/>
    <x v="1"/>
    <x v="0"/>
    <x v="0"/>
    <x v="8"/>
    <x v="2"/>
    <x v="6"/>
    <x v="1"/>
  </r>
  <r>
    <x v="1015"/>
    <x v="2"/>
    <x v="12"/>
    <n v="56.2"/>
    <n v="224.8"/>
    <x v="39"/>
    <d v="2025-02-10T00:00:00"/>
    <x v="2"/>
    <x v="0"/>
    <x v="0"/>
    <x v="0"/>
    <x v="8"/>
    <x v="3"/>
    <x v="6"/>
    <x v="2"/>
  </r>
  <r>
    <x v="1016"/>
    <x v="1"/>
    <x v="7"/>
    <n v="77.3"/>
    <n v="773"/>
    <x v="39"/>
    <d v="2025-02-10T00:00:00"/>
    <x v="2"/>
    <x v="2"/>
    <x v="0"/>
    <x v="0"/>
    <x v="11"/>
    <x v="3"/>
    <x v="6"/>
    <x v="2"/>
  </r>
  <r>
    <x v="1017"/>
    <x v="6"/>
    <x v="15"/>
    <n v="57.8"/>
    <n v="751.4"/>
    <x v="39"/>
    <d v="2025-02-10T00:00:00"/>
    <x v="0"/>
    <x v="0"/>
    <x v="0"/>
    <x v="0"/>
    <x v="53"/>
    <x v="3"/>
    <x v="6"/>
    <x v="0"/>
  </r>
  <r>
    <x v="1018"/>
    <x v="12"/>
    <x v="20"/>
    <n v="42.1"/>
    <n v="631.5"/>
    <x v="39"/>
    <d v="2025-02-11T00:00:00"/>
    <x v="2"/>
    <x v="1"/>
    <x v="1"/>
    <x v="0"/>
    <x v="53"/>
    <x v="1"/>
    <x v="6"/>
    <x v="2"/>
  </r>
  <r>
    <x v="1019"/>
    <x v="8"/>
    <x v="11"/>
    <n v="22.8"/>
    <n v="205.20000000000002"/>
    <x v="39"/>
    <d v="2025-02-13T00:00:00"/>
    <x v="1"/>
    <x v="2"/>
    <x v="2"/>
    <x v="0"/>
    <x v="19"/>
    <x v="5"/>
    <x v="6"/>
    <x v="1"/>
  </r>
  <r>
    <x v="1020"/>
    <x v="2"/>
    <x v="2"/>
    <n v="171.1"/>
    <n v="513.29999999999995"/>
    <x v="40"/>
    <d v="2025-02-17T00:00:00"/>
    <x v="2"/>
    <x v="2"/>
    <x v="1"/>
    <x v="0"/>
    <x v="19"/>
    <x v="6"/>
    <x v="6"/>
    <x v="2"/>
  </r>
  <r>
    <x v="1021"/>
    <x v="8"/>
    <x v="0"/>
    <n v="28"/>
    <n v="28"/>
    <x v="40"/>
    <d v="2025-02-12T00:00:00"/>
    <x v="1"/>
    <x v="2"/>
    <x v="2"/>
    <x v="0"/>
    <x v="21"/>
    <x v="1"/>
    <x v="6"/>
    <x v="1"/>
  </r>
  <r>
    <x v="1022"/>
    <x v="6"/>
    <x v="3"/>
    <n v="50.2"/>
    <n v="351.40000000000003"/>
    <x v="40"/>
    <d v="2025-02-12T00:00:00"/>
    <x v="1"/>
    <x v="2"/>
    <x v="0"/>
    <x v="0"/>
    <x v="21"/>
    <x v="1"/>
    <x v="6"/>
    <x v="1"/>
  </r>
  <r>
    <x v="1023"/>
    <x v="6"/>
    <x v="1"/>
    <n v="56"/>
    <n v="112"/>
    <x v="40"/>
    <d v="2025-02-10T00:00:00"/>
    <x v="1"/>
    <x v="0"/>
    <x v="2"/>
    <x v="0"/>
    <x v="22"/>
    <x v="7"/>
    <x v="6"/>
    <x v="1"/>
  </r>
  <r>
    <x v="1024"/>
    <x v="1"/>
    <x v="1"/>
    <n v="38.299999999999997"/>
    <n v="76.599999999999994"/>
    <x v="40"/>
    <d v="2025-02-11T00:00:00"/>
    <x v="2"/>
    <x v="1"/>
    <x v="0"/>
    <x v="0"/>
    <x v="3"/>
    <x v="3"/>
    <x v="6"/>
    <x v="2"/>
  </r>
  <r>
    <x v="1025"/>
    <x v="0"/>
    <x v="9"/>
    <n v="22.3"/>
    <n v="111.5"/>
    <x v="40"/>
    <d v="2025-02-14T00:00:00"/>
    <x v="2"/>
    <x v="2"/>
    <x v="1"/>
    <x v="0"/>
    <x v="3"/>
    <x v="5"/>
    <x v="6"/>
    <x v="2"/>
  </r>
  <r>
    <x v="1026"/>
    <x v="0"/>
    <x v="2"/>
    <n v="22.3"/>
    <n v="66.900000000000006"/>
    <x v="40"/>
    <d v="2025-02-13T00:00:00"/>
    <x v="2"/>
    <x v="2"/>
    <x v="0"/>
    <x v="0"/>
    <x v="3"/>
    <x v="2"/>
    <x v="6"/>
    <x v="2"/>
  </r>
  <r>
    <x v="1027"/>
    <x v="1"/>
    <x v="0"/>
    <n v="32.9"/>
    <n v="32.9"/>
    <x v="40"/>
    <d v="2025-02-15T00:00:00"/>
    <x v="2"/>
    <x v="0"/>
    <x v="0"/>
    <x v="0"/>
    <x v="3"/>
    <x v="0"/>
    <x v="6"/>
    <x v="2"/>
  </r>
  <r>
    <x v="1028"/>
    <x v="10"/>
    <x v="2"/>
    <n v="31.9"/>
    <n v="95.699999999999989"/>
    <x v="40"/>
    <d v="2025-02-15T00:00:00"/>
    <x v="2"/>
    <x v="0"/>
    <x v="0"/>
    <x v="0"/>
    <x v="3"/>
    <x v="0"/>
    <x v="6"/>
    <x v="2"/>
  </r>
  <r>
    <x v="1029"/>
    <x v="6"/>
    <x v="1"/>
    <n v="94"/>
    <n v="188"/>
    <x v="40"/>
    <d v="2025-02-11T00:00:00"/>
    <x v="1"/>
    <x v="2"/>
    <x v="2"/>
    <x v="0"/>
    <x v="3"/>
    <x v="3"/>
    <x v="6"/>
    <x v="1"/>
  </r>
  <r>
    <x v="1030"/>
    <x v="10"/>
    <x v="1"/>
    <n v="30.7"/>
    <n v="61.4"/>
    <x v="40"/>
    <d v="2025-02-11T00:00:00"/>
    <x v="2"/>
    <x v="0"/>
    <x v="1"/>
    <x v="0"/>
    <x v="3"/>
    <x v="3"/>
    <x v="6"/>
    <x v="2"/>
  </r>
  <r>
    <x v="1031"/>
    <x v="5"/>
    <x v="9"/>
    <n v="90.5"/>
    <n v="452.5"/>
    <x v="40"/>
    <d v="2025-02-17T00:00:00"/>
    <x v="1"/>
    <x v="0"/>
    <x v="2"/>
    <x v="0"/>
    <x v="3"/>
    <x v="6"/>
    <x v="6"/>
    <x v="1"/>
  </r>
  <r>
    <x v="1032"/>
    <x v="8"/>
    <x v="9"/>
    <n v="25.3"/>
    <n v="126.5"/>
    <x v="40"/>
    <d v="2025-02-14T00:00:00"/>
    <x v="2"/>
    <x v="0"/>
    <x v="2"/>
    <x v="0"/>
    <x v="3"/>
    <x v="5"/>
    <x v="6"/>
    <x v="2"/>
  </r>
  <r>
    <x v="1033"/>
    <x v="6"/>
    <x v="2"/>
    <n v="58.1"/>
    <n v="174.3"/>
    <x v="40"/>
    <d v="2025-02-14T00:00:00"/>
    <x v="0"/>
    <x v="0"/>
    <x v="2"/>
    <x v="0"/>
    <x v="3"/>
    <x v="5"/>
    <x v="6"/>
    <x v="0"/>
  </r>
  <r>
    <x v="1034"/>
    <x v="2"/>
    <x v="2"/>
    <n v="74.900000000000006"/>
    <n v="224.70000000000002"/>
    <x v="40"/>
    <d v="2025-02-11T00:00:00"/>
    <x v="2"/>
    <x v="4"/>
    <x v="0"/>
    <x v="0"/>
    <x v="3"/>
    <x v="3"/>
    <x v="6"/>
    <x v="2"/>
  </r>
  <r>
    <x v="1035"/>
    <x v="4"/>
    <x v="1"/>
    <n v="32.5"/>
    <n v="65"/>
    <x v="40"/>
    <d v="2025-02-11T00:00:00"/>
    <x v="1"/>
    <x v="2"/>
    <x v="2"/>
    <x v="0"/>
    <x v="43"/>
    <x v="3"/>
    <x v="6"/>
    <x v="1"/>
  </r>
  <r>
    <x v="1036"/>
    <x v="4"/>
    <x v="9"/>
    <n v="62"/>
    <n v="310"/>
    <x v="40"/>
    <d v="2025-02-11T00:00:00"/>
    <x v="1"/>
    <x v="4"/>
    <x v="2"/>
    <x v="0"/>
    <x v="25"/>
    <x v="3"/>
    <x v="6"/>
    <x v="1"/>
  </r>
  <r>
    <x v="1037"/>
    <x v="13"/>
    <x v="13"/>
    <n v="28.9"/>
    <n v="173.39999999999998"/>
    <x v="40"/>
    <d v="2025-02-13T00:00:00"/>
    <x v="2"/>
    <x v="0"/>
    <x v="1"/>
    <x v="0"/>
    <x v="6"/>
    <x v="2"/>
    <x v="6"/>
    <x v="2"/>
  </r>
  <r>
    <x v="1038"/>
    <x v="6"/>
    <x v="8"/>
    <n v="42.8"/>
    <n v="342.4"/>
    <x v="40"/>
    <d v="2025-02-12T00:00:00"/>
    <x v="2"/>
    <x v="0"/>
    <x v="2"/>
    <x v="0"/>
    <x v="6"/>
    <x v="1"/>
    <x v="6"/>
    <x v="2"/>
  </r>
  <r>
    <x v="1039"/>
    <x v="8"/>
    <x v="8"/>
    <n v="39.4"/>
    <n v="315.2"/>
    <x v="40"/>
    <d v="2025-02-12T00:00:00"/>
    <x v="1"/>
    <x v="0"/>
    <x v="0"/>
    <x v="0"/>
    <x v="36"/>
    <x v="1"/>
    <x v="6"/>
    <x v="1"/>
  </r>
  <r>
    <x v="1040"/>
    <x v="18"/>
    <x v="2"/>
    <n v="66.400000000000006"/>
    <n v="199.20000000000002"/>
    <x v="40"/>
    <d v="2025-02-11T00:00:00"/>
    <x v="0"/>
    <x v="2"/>
    <x v="1"/>
    <x v="0"/>
    <x v="7"/>
    <x v="3"/>
    <x v="6"/>
    <x v="0"/>
  </r>
  <r>
    <x v="1041"/>
    <x v="17"/>
    <x v="12"/>
    <n v="35.9"/>
    <n v="143.6"/>
    <x v="40"/>
    <d v="2025-02-17T00:00:00"/>
    <x v="2"/>
    <x v="1"/>
    <x v="0"/>
    <x v="0"/>
    <x v="7"/>
    <x v="6"/>
    <x v="6"/>
    <x v="2"/>
  </r>
  <r>
    <x v="1042"/>
    <x v="0"/>
    <x v="12"/>
    <n v="26.9"/>
    <n v="107.6"/>
    <x v="40"/>
    <d v="2025-02-11T00:00:00"/>
    <x v="1"/>
    <x v="1"/>
    <x v="0"/>
    <x v="0"/>
    <x v="7"/>
    <x v="3"/>
    <x v="6"/>
    <x v="1"/>
  </r>
  <r>
    <x v="1043"/>
    <x v="2"/>
    <x v="0"/>
    <n v="55.1"/>
    <n v="55.1"/>
    <x v="40"/>
    <d v="2025-02-11T00:00:00"/>
    <x v="2"/>
    <x v="0"/>
    <x v="0"/>
    <x v="0"/>
    <x v="7"/>
    <x v="3"/>
    <x v="6"/>
    <x v="2"/>
  </r>
  <r>
    <x v="1044"/>
    <x v="4"/>
    <x v="1"/>
    <n v="23.9"/>
    <n v="47.8"/>
    <x v="40"/>
    <d v="2025-02-11T00:00:00"/>
    <x v="1"/>
    <x v="0"/>
    <x v="2"/>
    <x v="0"/>
    <x v="8"/>
    <x v="3"/>
    <x v="6"/>
    <x v="1"/>
  </r>
  <r>
    <x v="1045"/>
    <x v="9"/>
    <x v="15"/>
    <n v="21.1"/>
    <n v="274.3"/>
    <x v="40"/>
    <d v="2025-02-18T00:00:00"/>
    <x v="2"/>
    <x v="0"/>
    <x v="1"/>
    <x v="0"/>
    <x v="8"/>
    <x v="9"/>
    <x v="6"/>
    <x v="2"/>
  </r>
  <r>
    <x v="1046"/>
    <x v="8"/>
    <x v="9"/>
    <n v="33.799999999999997"/>
    <n v="169"/>
    <x v="40"/>
    <d v="2025-02-12T00:00:00"/>
    <x v="2"/>
    <x v="0"/>
    <x v="0"/>
    <x v="0"/>
    <x v="8"/>
    <x v="1"/>
    <x v="6"/>
    <x v="2"/>
  </r>
  <r>
    <x v="1047"/>
    <x v="2"/>
    <x v="12"/>
    <n v="56.1"/>
    <n v="224.4"/>
    <x v="40"/>
    <d v="2025-02-10T00:00:00"/>
    <x v="2"/>
    <x v="3"/>
    <x v="2"/>
    <x v="0"/>
    <x v="9"/>
    <x v="7"/>
    <x v="6"/>
    <x v="2"/>
  </r>
  <r>
    <x v="1048"/>
    <x v="3"/>
    <x v="0"/>
    <n v="58.5"/>
    <n v="58.5"/>
    <x v="41"/>
    <d v="2025-02-15T00:00:00"/>
    <x v="2"/>
    <x v="1"/>
    <x v="2"/>
    <x v="0"/>
    <x v="9"/>
    <x v="5"/>
    <x v="6"/>
    <x v="2"/>
  </r>
  <r>
    <x v="1049"/>
    <x v="6"/>
    <x v="0"/>
    <n v="84.2"/>
    <n v="84.2"/>
    <x v="41"/>
    <d v="2025-02-13T00:00:00"/>
    <x v="1"/>
    <x v="3"/>
    <x v="0"/>
    <x v="0"/>
    <x v="11"/>
    <x v="1"/>
    <x v="6"/>
    <x v="1"/>
  </r>
  <r>
    <x v="1050"/>
    <x v="11"/>
    <x v="12"/>
    <n v="52"/>
    <n v="208"/>
    <x v="41"/>
    <d v="2025-02-14T00:00:00"/>
    <x v="1"/>
    <x v="0"/>
    <x v="0"/>
    <x v="0"/>
    <x v="11"/>
    <x v="2"/>
    <x v="6"/>
    <x v="1"/>
  </r>
  <r>
    <x v="1051"/>
    <x v="4"/>
    <x v="9"/>
    <n v="31.5"/>
    <n v="157.5"/>
    <x v="41"/>
    <d v="2025-02-12T00:00:00"/>
    <x v="2"/>
    <x v="0"/>
    <x v="2"/>
    <x v="0"/>
    <x v="11"/>
    <x v="3"/>
    <x v="6"/>
    <x v="2"/>
  </r>
  <r>
    <x v="1052"/>
    <x v="16"/>
    <x v="2"/>
    <n v="46.2"/>
    <n v="138.60000000000002"/>
    <x v="41"/>
    <d v="2025-02-12T00:00:00"/>
    <x v="1"/>
    <x v="0"/>
    <x v="0"/>
    <x v="0"/>
    <x v="53"/>
    <x v="3"/>
    <x v="6"/>
    <x v="1"/>
  </r>
  <r>
    <x v="1053"/>
    <x v="2"/>
    <x v="13"/>
    <n v="135"/>
    <n v="810"/>
    <x v="41"/>
    <d v="2025-02-12T00:00:00"/>
    <x v="2"/>
    <x v="1"/>
    <x v="2"/>
    <x v="0"/>
    <x v="18"/>
    <x v="3"/>
    <x v="6"/>
    <x v="2"/>
  </r>
  <r>
    <x v="1054"/>
    <x v="12"/>
    <x v="2"/>
    <n v="92.2"/>
    <n v="276.60000000000002"/>
    <x v="41"/>
    <d v="2025-02-15T00:00:00"/>
    <x v="1"/>
    <x v="0"/>
    <x v="0"/>
    <x v="0"/>
    <x v="21"/>
    <x v="5"/>
    <x v="6"/>
    <x v="1"/>
  </r>
  <r>
    <x v="1055"/>
    <x v="8"/>
    <x v="0"/>
    <n v="36.6"/>
    <n v="36.6"/>
    <x v="41"/>
    <d v="2025-02-13T00:00:00"/>
    <x v="1"/>
    <x v="2"/>
    <x v="2"/>
    <x v="0"/>
    <x v="21"/>
    <x v="1"/>
    <x v="6"/>
    <x v="1"/>
  </r>
  <r>
    <x v="1056"/>
    <x v="9"/>
    <x v="1"/>
    <n v="50.6"/>
    <n v="101.2"/>
    <x v="41"/>
    <d v="2025-02-14T00:00:00"/>
    <x v="2"/>
    <x v="0"/>
    <x v="0"/>
    <x v="0"/>
    <x v="2"/>
    <x v="2"/>
    <x v="6"/>
    <x v="2"/>
  </r>
  <r>
    <x v="1057"/>
    <x v="18"/>
    <x v="3"/>
    <n v="56.7"/>
    <n v="396.90000000000003"/>
    <x v="41"/>
    <d v="2025-02-14T00:00:00"/>
    <x v="2"/>
    <x v="0"/>
    <x v="0"/>
    <x v="0"/>
    <x v="2"/>
    <x v="2"/>
    <x v="6"/>
    <x v="2"/>
  </r>
  <r>
    <x v="1058"/>
    <x v="9"/>
    <x v="15"/>
    <n v="22.9"/>
    <n v="297.7"/>
    <x v="41"/>
    <d v="2025-02-12T00:00:00"/>
    <x v="2"/>
    <x v="0"/>
    <x v="1"/>
    <x v="0"/>
    <x v="44"/>
    <x v="3"/>
    <x v="6"/>
    <x v="2"/>
  </r>
  <r>
    <x v="1059"/>
    <x v="15"/>
    <x v="10"/>
    <n v="53.6"/>
    <n v="1018.4"/>
    <x v="41"/>
    <d v="2025-02-12T00:00:00"/>
    <x v="1"/>
    <x v="0"/>
    <x v="0"/>
    <x v="0"/>
    <x v="22"/>
    <x v="3"/>
    <x v="6"/>
    <x v="1"/>
  </r>
  <r>
    <x v="1060"/>
    <x v="18"/>
    <x v="1"/>
    <n v="30.2"/>
    <n v="60.4"/>
    <x v="41"/>
    <d v="2025-02-13T00:00:00"/>
    <x v="0"/>
    <x v="2"/>
    <x v="2"/>
    <x v="0"/>
    <x v="3"/>
    <x v="1"/>
    <x v="6"/>
    <x v="0"/>
  </r>
  <r>
    <x v="1061"/>
    <x v="15"/>
    <x v="13"/>
    <n v="83.4"/>
    <n v="500.40000000000003"/>
    <x v="41"/>
    <d v="2025-02-12T00:00:00"/>
    <x v="1"/>
    <x v="1"/>
    <x v="2"/>
    <x v="0"/>
    <x v="3"/>
    <x v="3"/>
    <x v="6"/>
    <x v="1"/>
  </r>
  <r>
    <x v="1062"/>
    <x v="13"/>
    <x v="4"/>
    <n v="16.600000000000001"/>
    <n v="199.20000000000002"/>
    <x v="41"/>
    <d v="2025-02-13T00:00:00"/>
    <x v="1"/>
    <x v="1"/>
    <x v="0"/>
    <x v="0"/>
    <x v="3"/>
    <x v="1"/>
    <x v="6"/>
    <x v="1"/>
  </r>
  <r>
    <x v="1063"/>
    <x v="8"/>
    <x v="14"/>
    <n v="21.9"/>
    <n v="372.29999999999995"/>
    <x v="41"/>
    <d v="2025-02-13T00:00:00"/>
    <x v="2"/>
    <x v="4"/>
    <x v="1"/>
    <x v="0"/>
    <x v="3"/>
    <x v="1"/>
    <x v="6"/>
    <x v="2"/>
  </r>
  <r>
    <x v="1064"/>
    <x v="8"/>
    <x v="31"/>
    <n v="33.799999999999997"/>
    <n v="946.39999999999986"/>
    <x v="41"/>
    <d v="2025-02-13T00:00:00"/>
    <x v="1"/>
    <x v="2"/>
    <x v="4"/>
    <x v="0"/>
    <x v="3"/>
    <x v="1"/>
    <x v="6"/>
    <x v="1"/>
  </r>
  <r>
    <x v="1065"/>
    <x v="18"/>
    <x v="1"/>
    <n v="53.2"/>
    <n v="106.4"/>
    <x v="41"/>
    <d v="2025-02-11T00:00:00"/>
    <x v="1"/>
    <x v="1"/>
    <x v="0"/>
    <x v="0"/>
    <x v="3"/>
    <x v="7"/>
    <x v="6"/>
    <x v="1"/>
  </r>
  <r>
    <x v="1066"/>
    <x v="2"/>
    <x v="1"/>
    <n v="176.7"/>
    <n v="353.4"/>
    <x v="41"/>
    <d v="2025-02-14T00:00:00"/>
    <x v="2"/>
    <x v="2"/>
    <x v="0"/>
    <x v="0"/>
    <x v="3"/>
    <x v="2"/>
    <x v="6"/>
    <x v="2"/>
  </r>
  <r>
    <x v="1067"/>
    <x v="12"/>
    <x v="2"/>
    <n v="54"/>
    <n v="162"/>
    <x v="41"/>
    <d v="2025-02-14T00:00:00"/>
    <x v="1"/>
    <x v="0"/>
    <x v="1"/>
    <x v="0"/>
    <x v="3"/>
    <x v="2"/>
    <x v="6"/>
    <x v="1"/>
  </r>
  <r>
    <x v="1068"/>
    <x v="9"/>
    <x v="1"/>
    <n v="70.099999999999994"/>
    <n v="140.19999999999999"/>
    <x v="41"/>
    <d v="2025-02-19T00:00:00"/>
    <x v="2"/>
    <x v="3"/>
    <x v="2"/>
    <x v="0"/>
    <x v="3"/>
    <x v="9"/>
    <x v="6"/>
    <x v="2"/>
  </r>
  <r>
    <x v="1069"/>
    <x v="8"/>
    <x v="0"/>
    <n v="26.5"/>
    <n v="26.5"/>
    <x v="41"/>
    <d v="2025-02-13T00:00:00"/>
    <x v="2"/>
    <x v="1"/>
    <x v="0"/>
    <x v="0"/>
    <x v="3"/>
    <x v="1"/>
    <x v="6"/>
    <x v="2"/>
  </r>
  <r>
    <x v="1070"/>
    <x v="7"/>
    <x v="9"/>
    <n v="89"/>
    <n v="445"/>
    <x v="41"/>
    <d v="2025-02-13T00:00:00"/>
    <x v="1"/>
    <x v="2"/>
    <x v="4"/>
    <x v="0"/>
    <x v="3"/>
    <x v="1"/>
    <x v="6"/>
    <x v="1"/>
  </r>
  <r>
    <x v="1071"/>
    <x v="1"/>
    <x v="13"/>
    <n v="47"/>
    <n v="282"/>
    <x v="41"/>
    <d v="2025-02-14T00:00:00"/>
    <x v="2"/>
    <x v="3"/>
    <x v="0"/>
    <x v="0"/>
    <x v="24"/>
    <x v="2"/>
    <x v="6"/>
    <x v="2"/>
  </r>
  <r>
    <x v="1072"/>
    <x v="3"/>
    <x v="1"/>
    <n v="55.2"/>
    <n v="110.4"/>
    <x v="41"/>
    <d v="2025-02-14T00:00:00"/>
    <x v="1"/>
    <x v="1"/>
    <x v="1"/>
    <x v="0"/>
    <x v="6"/>
    <x v="2"/>
    <x v="6"/>
    <x v="1"/>
  </r>
  <r>
    <x v="1073"/>
    <x v="8"/>
    <x v="39"/>
    <n v="33.299999999999997"/>
    <n v="1398.6"/>
    <x v="41"/>
    <d v="2025-02-25T00:00:00"/>
    <x v="1"/>
    <x v="1"/>
    <x v="2"/>
    <x v="0"/>
    <x v="6"/>
    <x v="12"/>
    <x v="6"/>
    <x v="1"/>
  </r>
  <r>
    <x v="1074"/>
    <x v="2"/>
    <x v="12"/>
    <n v="110.9"/>
    <n v="443.6"/>
    <x v="42"/>
    <d v="2025-02-12T00:00:00"/>
    <x v="1"/>
    <x v="2"/>
    <x v="4"/>
    <x v="0"/>
    <x v="6"/>
    <x v="7"/>
    <x v="6"/>
    <x v="1"/>
  </r>
  <r>
    <x v="1075"/>
    <x v="2"/>
    <x v="13"/>
    <n v="67.3"/>
    <n v="403.79999999999995"/>
    <x v="42"/>
    <d v="2025-02-13T00:00:00"/>
    <x v="1"/>
    <x v="0"/>
    <x v="0"/>
    <x v="0"/>
    <x v="8"/>
    <x v="3"/>
    <x v="6"/>
    <x v="1"/>
  </r>
  <r>
    <x v="1076"/>
    <x v="6"/>
    <x v="2"/>
    <n v="69.7"/>
    <n v="209.10000000000002"/>
    <x v="42"/>
    <d v="2025-02-13T00:00:00"/>
    <x v="1"/>
    <x v="2"/>
    <x v="1"/>
    <x v="0"/>
    <x v="8"/>
    <x v="3"/>
    <x v="6"/>
    <x v="1"/>
  </r>
  <r>
    <x v="1077"/>
    <x v="5"/>
    <x v="0"/>
    <n v="39.1"/>
    <n v="39.1"/>
    <x v="42"/>
    <d v="2025-02-17T00:00:00"/>
    <x v="1"/>
    <x v="0"/>
    <x v="1"/>
    <x v="0"/>
    <x v="17"/>
    <x v="0"/>
    <x v="6"/>
    <x v="1"/>
  </r>
  <r>
    <x v="1078"/>
    <x v="2"/>
    <x v="2"/>
    <n v="208.6"/>
    <n v="625.79999999999995"/>
    <x v="42"/>
    <d v="2025-02-12T00:00:00"/>
    <x v="1"/>
    <x v="4"/>
    <x v="2"/>
    <x v="0"/>
    <x v="17"/>
    <x v="7"/>
    <x v="6"/>
    <x v="1"/>
  </r>
  <r>
    <x v="1079"/>
    <x v="15"/>
    <x v="2"/>
    <n v="27.8"/>
    <n v="83.4"/>
    <x v="42"/>
    <d v="2025-02-13T00:00:00"/>
    <x v="1"/>
    <x v="3"/>
    <x v="1"/>
    <x v="0"/>
    <x v="11"/>
    <x v="3"/>
    <x v="6"/>
    <x v="1"/>
  </r>
  <r>
    <x v="1080"/>
    <x v="10"/>
    <x v="9"/>
    <n v="29.4"/>
    <n v="147"/>
    <x v="42"/>
    <d v="2025-02-14T00:00:00"/>
    <x v="2"/>
    <x v="0"/>
    <x v="0"/>
    <x v="0"/>
    <x v="11"/>
    <x v="1"/>
    <x v="6"/>
    <x v="2"/>
  </r>
  <r>
    <x v="1081"/>
    <x v="9"/>
    <x v="1"/>
    <n v="29.2"/>
    <n v="58.4"/>
    <x v="42"/>
    <d v="2025-02-14T00:00:00"/>
    <x v="2"/>
    <x v="1"/>
    <x v="2"/>
    <x v="0"/>
    <x v="20"/>
    <x v="1"/>
    <x v="6"/>
    <x v="2"/>
  </r>
  <r>
    <x v="1082"/>
    <x v="10"/>
    <x v="9"/>
    <n v="26.5"/>
    <n v="132.5"/>
    <x v="42"/>
    <d v="2025-02-14T00:00:00"/>
    <x v="2"/>
    <x v="0"/>
    <x v="0"/>
    <x v="0"/>
    <x v="52"/>
    <x v="1"/>
    <x v="6"/>
    <x v="2"/>
  </r>
  <r>
    <x v="1083"/>
    <x v="5"/>
    <x v="0"/>
    <n v="30.3"/>
    <n v="30.3"/>
    <x v="42"/>
    <d v="2025-02-13T00:00:00"/>
    <x v="2"/>
    <x v="4"/>
    <x v="1"/>
    <x v="0"/>
    <x v="13"/>
    <x v="3"/>
    <x v="6"/>
    <x v="2"/>
  </r>
  <r>
    <x v="1084"/>
    <x v="16"/>
    <x v="4"/>
    <n v="39.700000000000003"/>
    <n v="476.40000000000003"/>
    <x v="42"/>
    <d v="2025-02-13T00:00:00"/>
    <x v="2"/>
    <x v="0"/>
    <x v="0"/>
    <x v="0"/>
    <x v="21"/>
    <x v="3"/>
    <x v="6"/>
    <x v="2"/>
  </r>
  <r>
    <x v="1085"/>
    <x v="7"/>
    <x v="7"/>
    <n v="58.9"/>
    <n v="589"/>
    <x v="42"/>
    <d v="2025-02-14T00:00:00"/>
    <x v="2"/>
    <x v="1"/>
    <x v="4"/>
    <x v="0"/>
    <x v="21"/>
    <x v="1"/>
    <x v="6"/>
    <x v="2"/>
  </r>
  <r>
    <x v="1086"/>
    <x v="2"/>
    <x v="1"/>
    <n v="174.1"/>
    <n v="348.2"/>
    <x v="42"/>
    <d v="2025-02-14T00:00:00"/>
    <x v="2"/>
    <x v="0"/>
    <x v="1"/>
    <x v="0"/>
    <x v="46"/>
    <x v="1"/>
    <x v="6"/>
    <x v="2"/>
  </r>
  <r>
    <x v="1087"/>
    <x v="6"/>
    <x v="1"/>
    <n v="70.8"/>
    <n v="141.6"/>
    <x v="42"/>
    <d v="2025-02-15T00:00:00"/>
    <x v="1"/>
    <x v="2"/>
    <x v="0"/>
    <x v="0"/>
    <x v="22"/>
    <x v="2"/>
    <x v="6"/>
    <x v="1"/>
  </r>
  <r>
    <x v="1088"/>
    <x v="7"/>
    <x v="1"/>
    <n v="57.4"/>
    <n v="114.8"/>
    <x v="42"/>
    <d v="2025-02-14T00:00:00"/>
    <x v="2"/>
    <x v="1"/>
    <x v="1"/>
    <x v="0"/>
    <x v="34"/>
    <x v="1"/>
    <x v="6"/>
    <x v="2"/>
  </r>
  <r>
    <x v="1089"/>
    <x v="0"/>
    <x v="1"/>
    <n v="28.5"/>
    <n v="57"/>
    <x v="42"/>
    <d v="2025-02-14T00:00:00"/>
    <x v="1"/>
    <x v="3"/>
    <x v="1"/>
    <x v="0"/>
    <x v="3"/>
    <x v="1"/>
    <x v="6"/>
    <x v="1"/>
  </r>
  <r>
    <x v="1090"/>
    <x v="2"/>
    <x v="28"/>
    <n v="106.6"/>
    <n v="2132"/>
    <x v="42"/>
    <d v="2025-02-13T00:00:00"/>
    <x v="0"/>
    <x v="1"/>
    <x v="4"/>
    <x v="0"/>
    <x v="3"/>
    <x v="3"/>
    <x v="6"/>
    <x v="0"/>
  </r>
  <r>
    <x v="1091"/>
    <x v="2"/>
    <x v="2"/>
    <n v="119.7"/>
    <n v="359.1"/>
    <x v="42"/>
    <d v="2025-02-13T00:00:00"/>
    <x v="2"/>
    <x v="1"/>
    <x v="4"/>
    <x v="0"/>
    <x v="3"/>
    <x v="3"/>
    <x v="6"/>
    <x v="2"/>
  </r>
  <r>
    <x v="1092"/>
    <x v="18"/>
    <x v="0"/>
    <n v="73.3"/>
    <n v="73.3"/>
    <x v="42"/>
    <d v="2025-02-17T00:00:00"/>
    <x v="2"/>
    <x v="0"/>
    <x v="2"/>
    <x v="0"/>
    <x v="3"/>
    <x v="0"/>
    <x v="6"/>
    <x v="2"/>
  </r>
  <r>
    <x v="1093"/>
    <x v="0"/>
    <x v="1"/>
    <n v="25.8"/>
    <n v="51.6"/>
    <x v="42"/>
    <d v="2025-02-26T00:00:00"/>
    <x v="1"/>
    <x v="2"/>
    <x v="0"/>
    <x v="0"/>
    <x v="3"/>
    <x v="12"/>
    <x v="6"/>
    <x v="1"/>
  </r>
  <r>
    <x v="1094"/>
    <x v="17"/>
    <x v="2"/>
    <n v="49.1"/>
    <n v="147.30000000000001"/>
    <x v="42"/>
    <d v="2025-02-14T00:00:00"/>
    <x v="2"/>
    <x v="0"/>
    <x v="0"/>
    <x v="0"/>
    <x v="24"/>
    <x v="1"/>
    <x v="6"/>
    <x v="2"/>
  </r>
  <r>
    <x v="1095"/>
    <x v="1"/>
    <x v="0"/>
    <n v="44.9"/>
    <n v="44.9"/>
    <x v="42"/>
    <d v="2025-02-15T00:00:00"/>
    <x v="2"/>
    <x v="3"/>
    <x v="2"/>
    <x v="0"/>
    <x v="6"/>
    <x v="2"/>
    <x v="6"/>
    <x v="2"/>
  </r>
  <r>
    <x v="1096"/>
    <x v="15"/>
    <x v="3"/>
    <n v="29.9"/>
    <n v="209.29999999999998"/>
    <x v="42"/>
    <d v="2025-02-13T00:00:00"/>
    <x v="2"/>
    <x v="0"/>
    <x v="0"/>
    <x v="0"/>
    <x v="6"/>
    <x v="3"/>
    <x v="6"/>
    <x v="2"/>
  </r>
  <r>
    <x v="1097"/>
    <x v="7"/>
    <x v="1"/>
    <n v="54.3"/>
    <n v="108.6"/>
    <x v="43"/>
    <d v="2025-02-14T00:00:00"/>
    <x v="1"/>
    <x v="3"/>
    <x v="0"/>
    <x v="0"/>
    <x v="36"/>
    <x v="3"/>
    <x v="6"/>
    <x v="1"/>
  </r>
  <r>
    <x v="1098"/>
    <x v="9"/>
    <x v="12"/>
    <n v="57"/>
    <n v="228"/>
    <x v="43"/>
    <d v="2025-02-15T00:00:00"/>
    <x v="2"/>
    <x v="0"/>
    <x v="0"/>
    <x v="0"/>
    <x v="8"/>
    <x v="1"/>
    <x v="6"/>
    <x v="2"/>
  </r>
  <r>
    <x v="1099"/>
    <x v="2"/>
    <x v="0"/>
    <n v="139.19999999999999"/>
    <n v="139.19999999999999"/>
    <x v="43"/>
    <d v="2025-02-14T00:00:00"/>
    <x v="2"/>
    <x v="3"/>
    <x v="2"/>
    <x v="0"/>
    <x v="8"/>
    <x v="3"/>
    <x v="6"/>
    <x v="2"/>
  </r>
  <r>
    <x v="1100"/>
    <x v="10"/>
    <x v="0"/>
    <n v="33"/>
    <n v="33"/>
    <x v="43"/>
    <d v="2025-02-16T00:00:00"/>
    <x v="2"/>
    <x v="0"/>
    <x v="2"/>
    <x v="0"/>
    <x v="8"/>
    <x v="2"/>
    <x v="6"/>
    <x v="2"/>
  </r>
  <r>
    <x v="1101"/>
    <x v="11"/>
    <x v="13"/>
    <n v="80.2"/>
    <n v="481.20000000000005"/>
    <x v="43"/>
    <d v="2025-02-15T00:00:00"/>
    <x v="1"/>
    <x v="1"/>
    <x v="4"/>
    <x v="0"/>
    <x v="8"/>
    <x v="1"/>
    <x v="6"/>
    <x v="1"/>
  </r>
  <r>
    <x v="1102"/>
    <x v="18"/>
    <x v="8"/>
    <n v="49"/>
    <n v="392"/>
    <x v="43"/>
    <d v="2025-02-14T00:00:00"/>
    <x v="0"/>
    <x v="2"/>
    <x v="1"/>
    <x v="0"/>
    <x v="9"/>
    <x v="3"/>
    <x v="6"/>
    <x v="0"/>
  </r>
  <r>
    <x v="1103"/>
    <x v="1"/>
    <x v="12"/>
    <n v="104.4"/>
    <n v="417.6"/>
    <x v="43"/>
    <d v="2025-02-13T00:00:00"/>
    <x v="2"/>
    <x v="0"/>
    <x v="0"/>
    <x v="0"/>
    <x v="9"/>
    <x v="7"/>
    <x v="6"/>
    <x v="2"/>
  </r>
  <r>
    <x v="1104"/>
    <x v="3"/>
    <x v="0"/>
    <n v="41.6"/>
    <n v="41.6"/>
    <x v="43"/>
    <d v="2025-02-16T00:00:00"/>
    <x v="1"/>
    <x v="3"/>
    <x v="0"/>
    <x v="0"/>
    <x v="11"/>
    <x v="2"/>
    <x v="6"/>
    <x v="1"/>
  </r>
  <r>
    <x v="1105"/>
    <x v="19"/>
    <x v="1"/>
    <n v="16.399999999999999"/>
    <n v="32.799999999999997"/>
    <x v="43"/>
    <d v="2025-02-14T00:00:00"/>
    <x v="3"/>
    <x v="0"/>
    <x v="2"/>
    <x v="0"/>
    <x v="11"/>
    <x v="3"/>
    <x v="6"/>
    <x v="3"/>
  </r>
  <r>
    <x v="1106"/>
    <x v="8"/>
    <x v="1"/>
    <n v="22"/>
    <n v="44"/>
    <x v="43"/>
    <d v="2025-02-14T00:00:00"/>
    <x v="1"/>
    <x v="2"/>
    <x v="2"/>
    <x v="0"/>
    <x v="53"/>
    <x v="3"/>
    <x v="6"/>
    <x v="1"/>
  </r>
  <r>
    <x v="1107"/>
    <x v="15"/>
    <x v="1"/>
    <n v="33.6"/>
    <n v="67.2"/>
    <x v="43"/>
    <d v="2025-02-18T00:00:00"/>
    <x v="2"/>
    <x v="0"/>
    <x v="0"/>
    <x v="0"/>
    <x v="21"/>
    <x v="0"/>
    <x v="6"/>
    <x v="2"/>
  </r>
  <r>
    <x v="1108"/>
    <x v="11"/>
    <x v="13"/>
    <n v="43"/>
    <n v="258"/>
    <x v="43"/>
    <d v="2025-02-14T00:00:00"/>
    <x v="2"/>
    <x v="2"/>
    <x v="0"/>
    <x v="0"/>
    <x v="21"/>
    <x v="3"/>
    <x v="6"/>
    <x v="2"/>
  </r>
  <r>
    <x v="1109"/>
    <x v="6"/>
    <x v="9"/>
    <n v="108.8"/>
    <n v="544"/>
    <x v="43"/>
    <d v="2025-02-16T00:00:00"/>
    <x v="2"/>
    <x v="4"/>
    <x v="2"/>
    <x v="0"/>
    <x v="21"/>
    <x v="2"/>
    <x v="6"/>
    <x v="2"/>
  </r>
  <r>
    <x v="1110"/>
    <x v="0"/>
    <x v="11"/>
    <n v="29.3"/>
    <n v="263.7"/>
    <x v="43"/>
    <d v="2025-02-15T00:00:00"/>
    <x v="1"/>
    <x v="4"/>
    <x v="2"/>
    <x v="0"/>
    <x v="21"/>
    <x v="1"/>
    <x v="6"/>
    <x v="1"/>
  </r>
  <r>
    <x v="1111"/>
    <x v="2"/>
    <x v="0"/>
    <n v="122.7"/>
    <n v="122.7"/>
    <x v="43"/>
    <d v="2025-02-16T00:00:00"/>
    <x v="3"/>
    <x v="0"/>
    <x v="2"/>
    <x v="0"/>
    <x v="1"/>
    <x v="2"/>
    <x v="6"/>
    <x v="3"/>
  </r>
  <r>
    <x v="1112"/>
    <x v="4"/>
    <x v="3"/>
    <n v="22.9"/>
    <n v="160.29999999999998"/>
    <x v="43"/>
    <d v="2025-02-14T00:00:00"/>
    <x v="2"/>
    <x v="0"/>
    <x v="0"/>
    <x v="0"/>
    <x v="42"/>
    <x v="3"/>
    <x v="6"/>
    <x v="2"/>
  </r>
  <r>
    <x v="1113"/>
    <x v="8"/>
    <x v="7"/>
    <n v="25.5"/>
    <n v="255"/>
    <x v="43"/>
    <d v="2025-02-20T00:00:00"/>
    <x v="2"/>
    <x v="0"/>
    <x v="0"/>
    <x v="0"/>
    <x v="33"/>
    <x v="6"/>
    <x v="6"/>
    <x v="2"/>
  </r>
  <r>
    <x v="1114"/>
    <x v="17"/>
    <x v="2"/>
    <n v="23.4"/>
    <n v="70.199999999999989"/>
    <x v="43"/>
    <d v="2025-02-17T00:00:00"/>
    <x v="2"/>
    <x v="0"/>
    <x v="2"/>
    <x v="0"/>
    <x v="3"/>
    <x v="5"/>
    <x v="6"/>
    <x v="2"/>
  </r>
  <r>
    <x v="1115"/>
    <x v="5"/>
    <x v="8"/>
    <n v="27.4"/>
    <n v="219.2"/>
    <x v="43"/>
    <d v="2025-02-16T00:00:00"/>
    <x v="2"/>
    <x v="2"/>
    <x v="0"/>
    <x v="0"/>
    <x v="3"/>
    <x v="2"/>
    <x v="6"/>
    <x v="2"/>
  </r>
  <r>
    <x v="1116"/>
    <x v="5"/>
    <x v="9"/>
    <n v="68.400000000000006"/>
    <n v="342"/>
    <x v="43"/>
    <d v="2025-02-14T00:00:00"/>
    <x v="2"/>
    <x v="0"/>
    <x v="0"/>
    <x v="0"/>
    <x v="3"/>
    <x v="3"/>
    <x v="6"/>
    <x v="2"/>
  </r>
  <r>
    <x v="1117"/>
    <x v="6"/>
    <x v="0"/>
    <n v="51.9"/>
    <n v="51.9"/>
    <x v="43"/>
    <d v="2025-02-13T00:00:00"/>
    <x v="2"/>
    <x v="0"/>
    <x v="0"/>
    <x v="0"/>
    <x v="3"/>
    <x v="7"/>
    <x v="6"/>
    <x v="2"/>
  </r>
  <r>
    <x v="1118"/>
    <x v="0"/>
    <x v="9"/>
    <n v="26.4"/>
    <n v="132"/>
    <x v="43"/>
    <d v="2025-02-16T00:00:00"/>
    <x v="2"/>
    <x v="0"/>
    <x v="2"/>
    <x v="0"/>
    <x v="3"/>
    <x v="2"/>
    <x v="6"/>
    <x v="2"/>
  </r>
  <r>
    <x v="1119"/>
    <x v="12"/>
    <x v="1"/>
    <n v="117"/>
    <n v="234"/>
    <x v="43"/>
    <d v="2025-02-14T00:00:00"/>
    <x v="2"/>
    <x v="1"/>
    <x v="1"/>
    <x v="0"/>
    <x v="3"/>
    <x v="3"/>
    <x v="6"/>
    <x v="2"/>
  </r>
  <r>
    <x v="1120"/>
    <x v="7"/>
    <x v="2"/>
    <n v="49.6"/>
    <n v="148.80000000000001"/>
    <x v="44"/>
    <d v="2025-02-16T00:00:00"/>
    <x v="2"/>
    <x v="0"/>
    <x v="0"/>
    <x v="0"/>
    <x v="3"/>
    <x v="1"/>
    <x v="6"/>
    <x v="2"/>
  </r>
  <r>
    <x v="1121"/>
    <x v="4"/>
    <x v="2"/>
    <n v="38"/>
    <n v="114"/>
    <x v="44"/>
    <d v="2025-02-17T00:00:00"/>
    <x v="1"/>
    <x v="2"/>
    <x v="4"/>
    <x v="0"/>
    <x v="3"/>
    <x v="2"/>
    <x v="6"/>
    <x v="1"/>
  </r>
  <r>
    <x v="1122"/>
    <x v="0"/>
    <x v="2"/>
    <n v="20.6"/>
    <n v="61.800000000000004"/>
    <x v="44"/>
    <d v="2025-02-16T00:00:00"/>
    <x v="2"/>
    <x v="4"/>
    <x v="2"/>
    <x v="0"/>
    <x v="3"/>
    <x v="1"/>
    <x v="6"/>
    <x v="2"/>
  </r>
  <r>
    <x v="1123"/>
    <x v="0"/>
    <x v="1"/>
    <n v="16"/>
    <n v="32"/>
    <x v="44"/>
    <d v="2025-02-15T00:00:00"/>
    <x v="1"/>
    <x v="1"/>
    <x v="1"/>
    <x v="0"/>
    <x v="49"/>
    <x v="3"/>
    <x v="6"/>
    <x v="1"/>
  </r>
  <r>
    <x v="1124"/>
    <x v="15"/>
    <x v="12"/>
    <n v="49.3"/>
    <n v="197.2"/>
    <x v="44"/>
    <d v="2025-02-15T00:00:00"/>
    <x v="2"/>
    <x v="2"/>
    <x v="0"/>
    <x v="0"/>
    <x v="23"/>
    <x v="3"/>
    <x v="6"/>
    <x v="2"/>
  </r>
  <r>
    <x v="1125"/>
    <x v="9"/>
    <x v="1"/>
    <n v="24.1"/>
    <n v="48.2"/>
    <x v="44"/>
    <d v="2025-02-18T00:00:00"/>
    <x v="2"/>
    <x v="0"/>
    <x v="0"/>
    <x v="0"/>
    <x v="6"/>
    <x v="5"/>
    <x v="6"/>
    <x v="2"/>
  </r>
  <r>
    <x v="1126"/>
    <x v="15"/>
    <x v="8"/>
    <n v="32.700000000000003"/>
    <n v="261.60000000000002"/>
    <x v="44"/>
    <d v="2025-02-15T00:00:00"/>
    <x v="2"/>
    <x v="1"/>
    <x v="0"/>
    <x v="0"/>
    <x v="6"/>
    <x v="3"/>
    <x v="6"/>
    <x v="2"/>
  </r>
  <r>
    <x v="1127"/>
    <x v="6"/>
    <x v="2"/>
    <n v="74.400000000000006"/>
    <n v="223.20000000000002"/>
    <x v="44"/>
    <d v="2025-02-15T00:00:00"/>
    <x v="2"/>
    <x v="3"/>
    <x v="2"/>
    <x v="0"/>
    <x v="8"/>
    <x v="3"/>
    <x v="6"/>
    <x v="2"/>
  </r>
  <r>
    <x v="1128"/>
    <x v="12"/>
    <x v="0"/>
    <n v="45.6"/>
    <n v="45.6"/>
    <x v="44"/>
    <d v="2025-02-18T00:00:00"/>
    <x v="2"/>
    <x v="4"/>
    <x v="0"/>
    <x v="0"/>
    <x v="8"/>
    <x v="5"/>
    <x v="6"/>
    <x v="2"/>
  </r>
  <r>
    <x v="1129"/>
    <x v="8"/>
    <x v="8"/>
    <n v="19.600000000000001"/>
    <n v="156.80000000000001"/>
    <x v="44"/>
    <d v="2025-02-27T00:00:00"/>
    <x v="2"/>
    <x v="0"/>
    <x v="0"/>
    <x v="0"/>
    <x v="8"/>
    <x v="10"/>
    <x v="6"/>
    <x v="2"/>
  </r>
  <r>
    <x v="1130"/>
    <x v="9"/>
    <x v="0"/>
    <n v="51.8"/>
    <n v="51.8"/>
    <x v="44"/>
    <d v="2025-02-15T00:00:00"/>
    <x v="2"/>
    <x v="1"/>
    <x v="0"/>
    <x v="0"/>
    <x v="8"/>
    <x v="3"/>
    <x v="6"/>
    <x v="2"/>
  </r>
  <r>
    <x v="1131"/>
    <x v="6"/>
    <x v="0"/>
    <n v="74.7"/>
    <n v="74.7"/>
    <x v="44"/>
    <d v="2025-02-15T00:00:00"/>
    <x v="1"/>
    <x v="0"/>
    <x v="1"/>
    <x v="0"/>
    <x v="8"/>
    <x v="3"/>
    <x v="6"/>
    <x v="1"/>
  </r>
  <r>
    <x v="1132"/>
    <x v="19"/>
    <x v="2"/>
    <n v="22.4"/>
    <n v="67.199999999999989"/>
    <x v="44"/>
    <d v="2025-02-15T00:00:00"/>
    <x v="2"/>
    <x v="1"/>
    <x v="2"/>
    <x v="0"/>
    <x v="9"/>
    <x v="3"/>
    <x v="6"/>
    <x v="2"/>
  </r>
  <r>
    <x v="1133"/>
    <x v="1"/>
    <x v="12"/>
    <n v="31.4"/>
    <n v="125.6"/>
    <x v="44"/>
    <d v="2025-02-15T00:00:00"/>
    <x v="2"/>
    <x v="1"/>
    <x v="0"/>
    <x v="0"/>
    <x v="9"/>
    <x v="3"/>
    <x v="6"/>
    <x v="2"/>
  </r>
  <r>
    <x v="1134"/>
    <x v="6"/>
    <x v="0"/>
    <n v="94"/>
    <n v="94"/>
    <x v="44"/>
    <d v="2025-02-14T00:00:00"/>
    <x v="2"/>
    <x v="1"/>
    <x v="2"/>
    <x v="0"/>
    <x v="10"/>
    <x v="7"/>
    <x v="6"/>
    <x v="2"/>
  </r>
  <r>
    <x v="1135"/>
    <x v="10"/>
    <x v="0"/>
    <n v="22.3"/>
    <n v="22.3"/>
    <x v="44"/>
    <d v="2025-02-15T00:00:00"/>
    <x v="1"/>
    <x v="4"/>
    <x v="0"/>
    <x v="0"/>
    <x v="20"/>
    <x v="3"/>
    <x v="6"/>
    <x v="1"/>
  </r>
  <r>
    <x v="1136"/>
    <x v="0"/>
    <x v="0"/>
    <n v="21.9"/>
    <n v="21.9"/>
    <x v="44"/>
    <d v="2025-02-17T00:00:00"/>
    <x v="2"/>
    <x v="2"/>
    <x v="0"/>
    <x v="0"/>
    <x v="21"/>
    <x v="2"/>
    <x v="6"/>
    <x v="2"/>
  </r>
  <r>
    <x v="1137"/>
    <x v="17"/>
    <x v="2"/>
    <n v="27"/>
    <n v="81"/>
    <x v="44"/>
    <d v="2025-02-16T00:00:00"/>
    <x v="2"/>
    <x v="4"/>
    <x v="2"/>
    <x v="0"/>
    <x v="2"/>
    <x v="1"/>
    <x v="6"/>
    <x v="2"/>
  </r>
  <r>
    <x v="1138"/>
    <x v="2"/>
    <x v="12"/>
    <n v="149.6"/>
    <n v="598.4"/>
    <x v="44"/>
    <d v="2025-02-14T00:00:00"/>
    <x v="2"/>
    <x v="4"/>
    <x v="0"/>
    <x v="0"/>
    <x v="22"/>
    <x v="7"/>
    <x v="6"/>
    <x v="2"/>
  </r>
  <r>
    <x v="1139"/>
    <x v="2"/>
    <x v="12"/>
    <n v="129.1"/>
    <n v="516.4"/>
    <x v="44"/>
    <d v="2025-02-24T00:00:00"/>
    <x v="1"/>
    <x v="0"/>
    <x v="1"/>
    <x v="0"/>
    <x v="3"/>
    <x v="14"/>
    <x v="6"/>
    <x v="1"/>
  </r>
  <r>
    <x v="1140"/>
    <x v="1"/>
    <x v="4"/>
    <n v="40.4"/>
    <n v="484.79999999999995"/>
    <x v="44"/>
    <d v="2025-02-15T00:00:00"/>
    <x v="1"/>
    <x v="1"/>
    <x v="1"/>
    <x v="0"/>
    <x v="3"/>
    <x v="3"/>
    <x v="6"/>
    <x v="1"/>
  </r>
  <r>
    <x v="1141"/>
    <x v="4"/>
    <x v="2"/>
    <n v="48.5"/>
    <n v="145.5"/>
    <x v="44"/>
    <d v="2025-02-16T00:00:00"/>
    <x v="2"/>
    <x v="0"/>
    <x v="4"/>
    <x v="0"/>
    <x v="3"/>
    <x v="1"/>
    <x v="6"/>
    <x v="2"/>
  </r>
  <r>
    <x v="1142"/>
    <x v="9"/>
    <x v="1"/>
    <n v="37.6"/>
    <n v="75.2"/>
    <x v="44"/>
    <d v="2025-02-16T00:00:00"/>
    <x v="2"/>
    <x v="1"/>
    <x v="2"/>
    <x v="0"/>
    <x v="3"/>
    <x v="1"/>
    <x v="6"/>
    <x v="2"/>
  </r>
  <r>
    <x v="1143"/>
    <x v="8"/>
    <x v="1"/>
    <n v="19.600000000000001"/>
    <n v="39.200000000000003"/>
    <x v="44"/>
    <d v="2025-02-15T00:00:00"/>
    <x v="1"/>
    <x v="3"/>
    <x v="4"/>
    <x v="0"/>
    <x v="43"/>
    <x v="3"/>
    <x v="6"/>
    <x v="1"/>
  </r>
  <r>
    <x v="1144"/>
    <x v="8"/>
    <x v="9"/>
    <n v="18.5"/>
    <n v="92.5"/>
    <x v="44"/>
    <d v="2025-02-15T00:00:00"/>
    <x v="2"/>
    <x v="2"/>
    <x v="1"/>
    <x v="0"/>
    <x v="6"/>
    <x v="3"/>
    <x v="6"/>
    <x v="2"/>
  </r>
  <r>
    <x v="1145"/>
    <x v="5"/>
    <x v="2"/>
    <n v="25.5"/>
    <n v="76.5"/>
    <x v="44"/>
    <d v="2025-02-16T00:00:00"/>
    <x v="2"/>
    <x v="4"/>
    <x v="1"/>
    <x v="0"/>
    <x v="6"/>
    <x v="1"/>
    <x v="6"/>
    <x v="2"/>
  </r>
  <r>
    <x v="1146"/>
    <x v="2"/>
    <x v="1"/>
    <n v="94.7"/>
    <n v="189.4"/>
    <x v="44"/>
    <d v="2025-02-15T00:00:00"/>
    <x v="2"/>
    <x v="2"/>
    <x v="0"/>
    <x v="0"/>
    <x v="36"/>
    <x v="3"/>
    <x v="6"/>
    <x v="2"/>
  </r>
  <r>
    <x v="1147"/>
    <x v="1"/>
    <x v="13"/>
    <n v="38.799999999999997"/>
    <n v="232.79999999999998"/>
    <x v="44"/>
    <d v="2025-02-19T00:00:00"/>
    <x v="2"/>
    <x v="2"/>
    <x v="2"/>
    <x v="0"/>
    <x v="8"/>
    <x v="0"/>
    <x v="6"/>
    <x v="2"/>
  </r>
  <r>
    <x v="1148"/>
    <x v="9"/>
    <x v="1"/>
    <n v="49.4"/>
    <n v="98.8"/>
    <x v="45"/>
    <d v="2025-02-23T00:00:00"/>
    <x v="1"/>
    <x v="4"/>
    <x v="1"/>
    <x v="0"/>
    <x v="8"/>
    <x v="9"/>
    <x v="6"/>
    <x v="1"/>
  </r>
  <r>
    <x v="1149"/>
    <x v="7"/>
    <x v="2"/>
    <n v="68"/>
    <n v="204"/>
    <x v="45"/>
    <d v="2025-02-18T00:00:00"/>
    <x v="1"/>
    <x v="0"/>
    <x v="2"/>
    <x v="0"/>
    <x v="8"/>
    <x v="2"/>
    <x v="6"/>
    <x v="1"/>
  </r>
  <r>
    <x v="1150"/>
    <x v="15"/>
    <x v="3"/>
    <n v="63.7"/>
    <n v="445.90000000000003"/>
    <x v="45"/>
    <d v="2025-02-16T00:00:00"/>
    <x v="2"/>
    <x v="2"/>
    <x v="2"/>
    <x v="0"/>
    <x v="8"/>
    <x v="3"/>
    <x v="6"/>
    <x v="2"/>
  </r>
  <r>
    <x v="1151"/>
    <x v="10"/>
    <x v="1"/>
    <n v="66.2"/>
    <n v="132.4"/>
    <x v="45"/>
    <d v="2025-02-16T00:00:00"/>
    <x v="2"/>
    <x v="4"/>
    <x v="2"/>
    <x v="0"/>
    <x v="17"/>
    <x v="3"/>
    <x v="6"/>
    <x v="2"/>
  </r>
  <r>
    <x v="1152"/>
    <x v="12"/>
    <x v="2"/>
    <n v="32.299999999999997"/>
    <n v="96.899999999999991"/>
    <x v="45"/>
    <d v="2025-02-16T00:00:00"/>
    <x v="3"/>
    <x v="2"/>
    <x v="1"/>
    <x v="0"/>
    <x v="9"/>
    <x v="3"/>
    <x v="6"/>
    <x v="3"/>
  </r>
  <r>
    <x v="1153"/>
    <x v="4"/>
    <x v="1"/>
    <n v="66.900000000000006"/>
    <n v="133.80000000000001"/>
    <x v="45"/>
    <d v="2025-02-18T00:00:00"/>
    <x v="1"/>
    <x v="1"/>
    <x v="0"/>
    <x v="0"/>
    <x v="11"/>
    <x v="2"/>
    <x v="6"/>
    <x v="1"/>
  </r>
  <r>
    <x v="1154"/>
    <x v="4"/>
    <x v="4"/>
    <n v="25.2"/>
    <n v="302.39999999999998"/>
    <x v="45"/>
    <d v="2025-02-19T00:00:00"/>
    <x v="2"/>
    <x v="0"/>
    <x v="1"/>
    <x v="0"/>
    <x v="11"/>
    <x v="5"/>
    <x v="6"/>
    <x v="2"/>
  </r>
  <r>
    <x v="1155"/>
    <x v="10"/>
    <x v="13"/>
    <n v="29.5"/>
    <n v="177"/>
    <x v="45"/>
    <d v="2025-02-16T00:00:00"/>
    <x v="1"/>
    <x v="2"/>
    <x v="0"/>
    <x v="0"/>
    <x v="11"/>
    <x v="3"/>
    <x v="6"/>
    <x v="1"/>
  </r>
  <r>
    <x v="1156"/>
    <x v="8"/>
    <x v="9"/>
    <n v="21.6"/>
    <n v="108"/>
    <x v="45"/>
    <d v="2025-02-17T00:00:00"/>
    <x v="2"/>
    <x v="0"/>
    <x v="2"/>
    <x v="0"/>
    <x v="32"/>
    <x v="1"/>
    <x v="6"/>
    <x v="2"/>
  </r>
  <r>
    <x v="1157"/>
    <x v="12"/>
    <x v="2"/>
    <n v="69"/>
    <n v="207"/>
    <x v="45"/>
    <d v="2025-02-16T00:00:00"/>
    <x v="2"/>
    <x v="0"/>
    <x v="0"/>
    <x v="0"/>
    <x v="18"/>
    <x v="3"/>
    <x v="6"/>
    <x v="2"/>
  </r>
  <r>
    <x v="1158"/>
    <x v="7"/>
    <x v="1"/>
    <n v="115"/>
    <n v="230"/>
    <x v="45"/>
    <d v="2025-02-19T00:00:00"/>
    <x v="1"/>
    <x v="0"/>
    <x v="2"/>
    <x v="0"/>
    <x v="18"/>
    <x v="5"/>
    <x v="6"/>
    <x v="1"/>
  </r>
  <r>
    <x v="1159"/>
    <x v="2"/>
    <x v="1"/>
    <n v="109.3"/>
    <n v="218.6"/>
    <x v="45"/>
    <d v="2025-02-17T00:00:00"/>
    <x v="0"/>
    <x v="3"/>
    <x v="1"/>
    <x v="0"/>
    <x v="19"/>
    <x v="1"/>
    <x v="6"/>
    <x v="0"/>
  </r>
  <r>
    <x v="1160"/>
    <x v="9"/>
    <x v="1"/>
    <n v="66.599999999999994"/>
    <n v="133.19999999999999"/>
    <x v="45"/>
    <d v="2025-02-18T00:00:00"/>
    <x v="0"/>
    <x v="4"/>
    <x v="1"/>
    <x v="0"/>
    <x v="19"/>
    <x v="2"/>
    <x v="6"/>
    <x v="0"/>
  </r>
  <r>
    <x v="1161"/>
    <x v="12"/>
    <x v="9"/>
    <n v="47.7"/>
    <n v="238.5"/>
    <x v="45"/>
    <d v="2025-02-16T00:00:00"/>
    <x v="1"/>
    <x v="3"/>
    <x v="2"/>
    <x v="0"/>
    <x v="21"/>
    <x v="3"/>
    <x v="6"/>
    <x v="1"/>
  </r>
  <r>
    <x v="1162"/>
    <x v="8"/>
    <x v="1"/>
    <n v="46"/>
    <n v="92"/>
    <x v="45"/>
    <d v="2025-02-16T00:00:00"/>
    <x v="2"/>
    <x v="4"/>
    <x v="4"/>
    <x v="0"/>
    <x v="22"/>
    <x v="3"/>
    <x v="6"/>
    <x v="2"/>
  </r>
  <r>
    <x v="1163"/>
    <x v="1"/>
    <x v="13"/>
    <n v="39.299999999999997"/>
    <n v="235.79999999999998"/>
    <x v="45"/>
    <d v="2025-02-17T00:00:00"/>
    <x v="1"/>
    <x v="3"/>
    <x v="2"/>
    <x v="0"/>
    <x v="3"/>
    <x v="1"/>
    <x v="6"/>
    <x v="1"/>
  </r>
  <r>
    <x v="1164"/>
    <x v="9"/>
    <x v="0"/>
    <n v="70.2"/>
    <n v="70.2"/>
    <x v="45"/>
    <d v="2025-02-16T00:00:00"/>
    <x v="2"/>
    <x v="0"/>
    <x v="4"/>
    <x v="0"/>
    <x v="3"/>
    <x v="3"/>
    <x v="6"/>
    <x v="2"/>
  </r>
  <r>
    <x v="1165"/>
    <x v="3"/>
    <x v="12"/>
    <n v="71.5"/>
    <n v="286"/>
    <x v="45"/>
    <d v="2025-02-15T00:00:00"/>
    <x v="2"/>
    <x v="1"/>
    <x v="2"/>
    <x v="0"/>
    <x v="3"/>
    <x v="7"/>
    <x v="6"/>
    <x v="2"/>
  </r>
  <r>
    <x v="1166"/>
    <x v="10"/>
    <x v="3"/>
    <n v="31"/>
    <n v="217"/>
    <x v="45"/>
    <d v="2025-02-22T00:00:00"/>
    <x v="2"/>
    <x v="3"/>
    <x v="2"/>
    <x v="0"/>
    <x v="3"/>
    <x v="6"/>
    <x v="6"/>
    <x v="2"/>
  </r>
  <r>
    <x v="1167"/>
    <x v="2"/>
    <x v="9"/>
    <n v="68.2"/>
    <n v="341"/>
    <x v="45"/>
    <d v="2025-02-20T00:00:00"/>
    <x v="2"/>
    <x v="0"/>
    <x v="2"/>
    <x v="0"/>
    <x v="3"/>
    <x v="0"/>
    <x v="6"/>
    <x v="2"/>
  </r>
  <r>
    <x v="1168"/>
    <x v="2"/>
    <x v="0"/>
    <n v="91.4"/>
    <n v="91.4"/>
    <x v="45"/>
    <d v="2025-02-19T00:00:00"/>
    <x v="2"/>
    <x v="1"/>
    <x v="2"/>
    <x v="0"/>
    <x v="6"/>
    <x v="5"/>
    <x v="6"/>
    <x v="2"/>
  </r>
  <r>
    <x v="1169"/>
    <x v="6"/>
    <x v="7"/>
    <n v="112.9"/>
    <n v="1129"/>
    <x v="45"/>
    <d v="2025-02-16T00:00:00"/>
    <x v="2"/>
    <x v="0"/>
    <x v="0"/>
    <x v="0"/>
    <x v="6"/>
    <x v="3"/>
    <x v="6"/>
    <x v="2"/>
  </r>
  <r>
    <x v="1170"/>
    <x v="17"/>
    <x v="11"/>
    <n v="33.700000000000003"/>
    <n v="303.3"/>
    <x v="45"/>
    <d v="2025-02-16T00:00:00"/>
    <x v="2"/>
    <x v="1"/>
    <x v="2"/>
    <x v="0"/>
    <x v="8"/>
    <x v="3"/>
    <x v="6"/>
    <x v="2"/>
  </r>
  <r>
    <x v="1171"/>
    <x v="15"/>
    <x v="7"/>
    <n v="35.299999999999997"/>
    <n v="353"/>
    <x v="45"/>
    <d v="2025-02-17T00:00:00"/>
    <x v="1"/>
    <x v="2"/>
    <x v="0"/>
    <x v="0"/>
    <x v="8"/>
    <x v="1"/>
    <x v="6"/>
    <x v="1"/>
  </r>
  <r>
    <x v="1172"/>
    <x v="18"/>
    <x v="2"/>
    <n v="45.6"/>
    <n v="136.80000000000001"/>
    <x v="45"/>
    <d v="2025-02-19T00:00:00"/>
    <x v="1"/>
    <x v="3"/>
    <x v="0"/>
    <x v="0"/>
    <x v="8"/>
    <x v="5"/>
    <x v="6"/>
    <x v="1"/>
  </r>
  <r>
    <x v="1173"/>
    <x v="7"/>
    <x v="3"/>
    <n v="47.1"/>
    <n v="329.7"/>
    <x v="45"/>
    <d v="2025-02-16T00:00:00"/>
    <x v="2"/>
    <x v="4"/>
    <x v="2"/>
    <x v="0"/>
    <x v="9"/>
    <x v="3"/>
    <x v="6"/>
    <x v="2"/>
  </r>
  <r>
    <x v="1174"/>
    <x v="8"/>
    <x v="9"/>
    <n v="16.2"/>
    <n v="81"/>
    <x v="45"/>
    <d v="2025-02-17T00:00:00"/>
    <x v="2"/>
    <x v="3"/>
    <x v="2"/>
    <x v="0"/>
    <x v="19"/>
    <x v="1"/>
    <x v="6"/>
    <x v="2"/>
  </r>
  <r>
    <x v="1175"/>
    <x v="1"/>
    <x v="1"/>
    <n v="159.69999999999999"/>
    <n v="319.39999999999998"/>
    <x v="46"/>
    <d v="2025-02-17T00:00:00"/>
    <x v="1"/>
    <x v="4"/>
    <x v="0"/>
    <x v="0"/>
    <x v="13"/>
    <x v="3"/>
    <x v="7"/>
    <x v="1"/>
  </r>
  <r>
    <x v="1176"/>
    <x v="8"/>
    <x v="12"/>
    <n v="19"/>
    <n v="76"/>
    <x v="46"/>
    <d v="2025-02-23T00:00:00"/>
    <x v="2"/>
    <x v="2"/>
    <x v="2"/>
    <x v="0"/>
    <x v="21"/>
    <x v="6"/>
    <x v="7"/>
    <x v="2"/>
  </r>
  <r>
    <x v="1177"/>
    <x v="6"/>
    <x v="13"/>
    <n v="91.1"/>
    <n v="546.59999999999991"/>
    <x v="46"/>
    <d v="2025-02-25T00:00:00"/>
    <x v="2"/>
    <x v="4"/>
    <x v="0"/>
    <x v="0"/>
    <x v="21"/>
    <x v="8"/>
    <x v="7"/>
    <x v="2"/>
  </r>
  <r>
    <x v="1178"/>
    <x v="2"/>
    <x v="9"/>
    <n v="94.1"/>
    <n v="470.5"/>
    <x v="46"/>
    <d v="2025-02-19T00:00:00"/>
    <x v="0"/>
    <x v="1"/>
    <x v="1"/>
    <x v="0"/>
    <x v="21"/>
    <x v="2"/>
    <x v="7"/>
    <x v="0"/>
  </r>
  <r>
    <x v="1179"/>
    <x v="9"/>
    <x v="11"/>
    <n v="21.1"/>
    <n v="189.9"/>
    <x v="46"/>
    <d v="2025-02-17T00:00:00"/>
    <x v="2"/>
    <x v="4"/>
    <x v="2"/>
    <x v="0"/>
    <x v="51"/>
    <x v="3"/>
    <x v="7"/>
    <x v="2"/>
  </r>
  <r>
    <x v="1180"/>
    <x v="8"/>
    <x v="3"/>
    <n v="15.3"/>
    <n v="107.10000000000001"/>
    <x v="46"/>
    <d v="2025-02-24T00:00:00"/>
    <x v="2"/>
    <x v="2"/>
    <x v="0"/>
    <x v="0"/>
    <x v="1"/>
    <x v="9"/>
    <x v="7"/>
    <x v="2"/>
  </r>
  <r>
    <x v="1181"/>
    <x v="15"/>
    <x v="12"/>
    <n v="21.3"/>
    <n v="85.2"/>
    <x v="46"/>
    <d v="2025-02-19T00:00:00"/>
    <x v="1"/>
    <x v="1"/>
    <x v="0"/>
    <x v="0"/>
    <x v="3"/>
    <x v="2"/>
    <x v="7"/>
    <x v="1"/>
  </r>
  <r>
    <x v="1182"/>
    <x v="0"/>
    <x v="1"/>
    <n v="23.2"/>
    <n v="46.4"/>
    <x v="46"/>
    <d v="2025-02-16T00:00:00"/>
    <x v="0"/>
    <x v="3"/>
    <x v="1"/>
    <x v="0"/>
    <x v="3"/>
    <x v="7"/>
    <x v="7"/>
    <x v="0"/>
  </r>
  <r>
    <x v="1183"/>
    <x v="4"/>
    <x v="2"/>
    <n v="25.7"/>
    <n v="77.099999999999994"/>
    <x v="46"/>
    <d v="2025-02-17T00:00:00"/>
    <x v="1"/>
    <x v="4"/>
    <x v="0"/>
    <x v="0"/>
    <x v="3"/>
    <x v="3"/>
    <x v="7"/>
    <x v="1"/>
  </r>
  <r>
    <x v="1184"/>
    <x v="0"/>
    <x v="11"/>
    <n v="31.6"/>
    <n v="284.40000000000003"/>
    <x v="46"/>
    <d v="2025-02-18T00:00:00"/>
    <x v="2"/>
    <x v="0"/>
    <x v="0"/>
    <x v="0"/>
    <x v="3"/>
    <x v="1"/>
    <x v="7"/>
    <x v="2"/>
  </r>
  <r>
    <x v="1185"/>
    <x v="6"/>
    <x v="0"/>
    <n v="64.2"/>
    <n v="64.2"/>
    <x v="46"/>
    <d v="2025-02-21T00:00:00"/>
    <x v="1"/>
    <x v="0"/>
    <x v="0"/>
    <x v="0"/>
    <x v="3"/>
    <x v="0"/>
    <x v="7"/>
    <x v="1"/>
  </r>
  <r>
    <x v="1186"/>
    <x v="8"/>
    <x v="1"/>
    <n v="55.8"/>
    <n v="111.6"/>
    <x v="46"/>
    <d v="2025-02-18T00:00:00"/>
    <x v="0"/>
    <x v="0"/>
    <x v="0"/>
    <x v="0"/>
    <x v="3"/>
    <x v="1"/>
    <x v="7"/>
    <x v="0"/>
  </r>
  <r>
    <x v="1187"/>
    <x v="8"/>
    <x v="1"/>
    <n v="28.1"/>
    <n v="56.2"/>
    <x v="46"/>
    <d v="2025-02-17T00:00:00"/>
    <x v="2"/>
    <x v="4"/>
    <x v="1"/>
    <x v="0"/>
    <x v="3"/>
    <x v="3"/>
    <x v="7"/>
    <x v="2"/>
  </r>
  <r>
    <x v="1188"/>
    <x v="0"/>
    <x v="1"/>
    <n v="11.6"/>
    <n v="23.2"/>
    <x v="46"/>
    <d v="2025-02-18T00:00:00"/>
    <x v="2"/>
    <x v="1"/>
    <x v="0"/>
    <x v="0"/>
    <x v="24"/>
    <x v="1"/>
    <x v="7"/>
    <x v="2"/>
  </r>
  <r>
    <x v="1189"/>
    <x v="5"/>
    <x v="2"/>
    <n v="50.4"/>
    <n v="151.19999999999999"/>
    <x v="46"/>
    <d v="2025-02-17T00:00:00"/>
    <x v="1"/>
    <x v="4"/>
    <x v="2"/>
    <x v="0"/>
    <x v="25"/>
    <x v="3"/>
    <x v="7"/>
    <x v="1"/>
  </r>
  <r>
    <x v="1190"/>
    <x v="6"/>
    <x v="13"/>
    <n v="48.3"/>
    <n v="289.79999999999995"/>
    <x v="46"/>
    <d v="2025-02-20T00:00:00"/>
    <x v="2"/>
    <x v="0"/>
    <x v="0"/>
    <x v="0"/>
    <x v="25"/>
    <x v="5"/>
    <x v="7"/>
    <x v="2"/>
  </r>
  <r>
    <x v="1191"/>
    <x v="17"/>
    <x v="3"/>
    <n v="32.200000000000003"/>
    <n v="225.40000000000003"/>
    <x v="46"/>
    <d v="2025-02-18T00:00:00"/>
    <x v="2"/>
    <x v="2"/>
    <x v="0"/>
    <x v="0"/>
    <x v="25"/>
    <x v="1"/>
    <x v="7"/>
    <x v="2"/>
  </r>
  <r>
    <x v="1192"/>
    <x v="7"/>
    <x v="31"/>
    <n v="48.5"/>
    <n v="1358"/>
    <x v="46"/>
    <d v="2025-02-17T00:00:00"/>
    <x v="1"/>
    <x v="0"/>
    <x v="0"/>
    <x v="0"/>
    <x v="5"/>
    <x v="3"/>
    <x v="7"/>
    <x v="1"/>
  </r>
  <r>
    <x v="1193"/>
    <x v="2"/>
    <x v="9"/>
    <n v="62"/>
    <n v="310"/>
    <x v="46"/>
    <d v="2025-02-19T00:00:00"/>
    <x v="2"/>
    <x v="1"/>
    <x v="0"/>
    <x v="0"/>
    <x v="6"/>
    <x v="2"/>
    <x v="7"/>
    <x v="2"/>
  </r>
  <r>
    <x v="1194"/>
    <x v="8"/>
    <x v="2"/>
    <n v="32.1"/>
    <n v="96.300000000000011"/>
    <x v="47"/>
    <d v="2025-02-19T00:00:00"/>
    <x v="1"/>
    <x v="0"/>
    <x v="0"/>
    <x v="0"/>
    <x v="6"/>
    <x v="1"/>
    <x v="7"/>
    <x v="1"/>
  </r>
  <r>
    <x v="1195"/>
    <x v="12"/>
    <x v="2"/>
    <n v="106.1"/>
    <n v="318.29999999999995"/>
    <x v="47"/>
    <d v="2025-02-19T00:00:00"/>
    <x v="1"/>
    <x v="0"/>
    <x v="1"/>
    <x v="0"/>
    <x v="7"/>
    <x v="1"/>
    <x v="7"/>
    <x v="1"/>
  </r>
  <r>
    <x v="1196"/>
    <x v="10"/>
    <x v="2"/>
    <n v="23.5"/>
    <n v="70.5"/>
    <x v="47"/>
    <d v="2025-02-20T00:00:00"/>
    <x v="1"/>
    <x v="0"/>
    <x v="4"/>
    <x v="0"/>
    <x v="7"/>
    <x v="2"/>
    <x v="7"/>
    <x v="1"/>
  </r>
  <r>
    <x v="1197"/>
    <x v="1"/>
    <x v="1"/>
    <n v="35.6"/>
    <n v="71.2"/>
    <x v="47"/>
    <d v="2025-02-22T00:00:00"/>
    <x v="1"/>
    <x v="4"/>
    <x v="0"/>
    <x v="0"/>
    <x v="8"/>
    <x v="0"/>
    <x v="7"/>
    <x v="1"/>
  </r>
  <r>
    <x v="1198"/>
    <x v="1"/>
    <x v="1"/>
    <n v="63.5"/>
    <n v="127"/>
    <x v="47"/>
    <d v="2025-02-17T00:00:00"/>
    <x v="2"/>
    <x v="1"/>
    <x v="2"/>
    <x v="0"/>
    <x v="8"/>
    <x v="7"/>
    <x v="7"/>
    <x v="2"/>
  </r>
  <r>
    <x v="1199"/>
    <x v="6"/>
    <x v="3"/>
    <n v="82.9"/>
    <n v="580.30000000000007"/>
    <x v="47"/>
    <d v="2025-02-22T00:00:00"/>
    <x v="2"/>
    <x v="4"/>
    <x v="0"/>
    <x v="0"/>
    <x v="9"/>
    <x v="0"/>
    <x v="7"/>
    <x v="2"/>
  </r>
  <r>
    <x v="1200"/>
    <x v="6"/>
    <x v="1"/>
    <n v="83.6"/>
    <n v="167.2"/>
    <x v="47"/>
    <d v="2025-02-22T00:00:00"/>
    <x v="2"/>
    <x v="0"/>
    <x v="0"/>
    <x v="0"/>
    <x v="11"/>
    <x v="0"/>
    <x v="7"/>
    <x v="2"/>
  </r>
  <r>
    <x v="1201"/>
    <x v="4"/>
    <x v="1"/>
    <n v="29.4"/>
    <n v="58.8"/>
    <x v="47"/>
    <d v="2025-02-17T00:00:00"/>
    <x v="2"/>
    <x v="0"/>
    <x v="1"/>
    <x v="0"/>
    <x v="30"/>
    <x v="7"/>
    <x v="7"/>
    <x v="2"/>
  </r>
  <r>
    <x v="1202"/>
    <x v="2"/>
    <x v="2"/>
    <n v="107.1"/>
    <n v="321.29999999999995"/>
    <x v="47"/>
    <d v="2025-02-21T00:00:00"/>
    <x v="2"/>
    <x v="2"/>
    <x v="0"/>
    <x v="0"/>
    <x v="20"/>
    <x v="5"/>
    <x v="7"/>
    <x v="2"/>
  </r>
  <r>
    <x v="1203"/>
    <x v="2"/>
    <x v="0"/>
    <n v="62.7"/>
    <n v="62.7"/>
    <x v="47"/>
    <d v="2025-02-21T00:00:00"/>
    <x v="1"/>
    <x v="1"/>
    <x v="0"/>
    <x v="0"/>
    <x v="21"/>
    <x v="5"/>
    <x v="7"/>
    <x v="1"/>
  </r>
  <r>
    <x v="1204"/>
    <x v="11"/>
    <x v="0"/>
    <n v="41.6"/>
    <n v="41.6"/>
    <x v="47"/>
    <d v="2025-02-18T00:00:00"/>
    <x v="1"/>
    <x v="0"/>
    <x v="1"/>
    <x v="0"/>
    <x v="1"/>
    <x v="3"/>
    <x v="7"/>
    <x v="1"/>
  </r>
  <r>
    <x v="1205"/>
    <x v="6"/>
    <x v="0"/>
    <n v="44.2"/>
    <n v="44.2"/>
    <x v="47"/>
    <d v="2025-02-18T00:00:00"/>
    <x v="3"/>
    <x v="0"/>
    <x v="1"/>
    <x v="0"/>
    <x v="1"/>
    <x v="3"/>
    <x v="7"/>
    <x v="3"/>
  </r>
  <r>
    <x v="1206"/>
    <x v="4"/>
    <x v="13"/>
    <n v="40.4"/>
    <n v="242.39999999999998"/>
    <x v="47"/>
    <d v="2025-03-02T00:00:00"/>
    <x v="2"/>
    <x v="2"/>
    <x v="0"/>
    <x v="0"/>
    <x v="22"/>
    <x v="10"/>
    <x v="7"/>
    <x v="2"/>
  </r>
  <r>
    <x v="1207"/>
    <x v="15"/>
    <x v="13"/>
    <n v="59.6"/>
    <n v="357.6"/>
    <x v="47"/>
    <d v="2025-02-18T00:00:00"/>
    <x v="2"/>
    <x v="4"/>
    <x v="0"/>
    <x v="0"/>
    <x v="34"/>
    <x v="3"/>
    <x v="7"/>
    <x v="2"/>
  </r>
  <r>
    <x v="1208"/>
    <x v="17"/>
    <x v="4"/>
    <n v="63.8"/>
    <n v="765.59999999999991"/>
    <x v="47"/>
    <d v="2025-02-18T00:00:00"/>
    <x v="1"/>
    <x v="1"/>
    <x v="0"/>
    <x v="0"/>
    <x v="3"/>
    <x v="3"/>
    <x v="7"/>
    <x v="1"/>
  </r>
  <r>
    <x v="1209"/>
    <x v="9"/>
    <x v="13"/>
    <n v="30.8"/>
    <n v="184.8"/>
    <x v="47"/>
    <d v="2025-02-19T00:00:00"/>
    <x v="1"/>
    <x v="4"/>
    <x v="0"/>
    <x v="0"/>
    <x v="3"/>
    <x v="1"/>
    <x v="7"/>
    <x v="1"/>
  </r>
  <r>
    <x v="1210"/>
    <x v="1"/>
    <x v="1"/>
    <n v="41.5"/>
    <n v="83"/>
    <x v="47"/>
    <d v="2025-02-20T00:00:00"/>
    <x v="3"/>
    <x v="0"/>
    <x v="0"/>
    <x v="0"/>
    <x v="3"/>
    <x v="2"/>
    <x v="7"/>
    <x v="3"/>
  </r>
  <r>
    <x v="1211"/>
    <x v="10"/>
    <x v="12"/>
    <n v="44.7"/>
    <n v="178.8"/>
    <x v="47"/>
    <d v="2025-02-19T00:00:00"/>
    <x v="2"/>
    <x v="2"/>
    <x v="1"/>
    <x v="0"/>
    <x v="3"/>
    <x v="1"/>
    <x v="7"/>
    <x v="2"/>
  </r>
  <r>
    <x v="1212"/>
    <x v="12"/>
    <x v="1"/>
    <n v="64.099999999999994"/>
    <n v="128.19999999999999"/>
    <x v="47"/>
    <d v="2025-02-21T00:00:00"/>
    <x v="2"/>
    <x v="1"/>
    <x v="4"/>
    <x v="0"/>
    <x v="3"/>
    <x v="5"/>
    <x v="7"/>
    <x v="2"/>
  </r>
  <r>
    <x v="1213"/>
    <x v="8"/>
    <x v="0"/>
    <n v="15.9"/>
    <n v="15.9"/>
    <x v="47"/>
    <d v="2025-02-20T00:00:00"/>
    <x v="0"/>
    <x v="1"/>
    <x v="0"/>
    <x v="0"/>
    <x v="3"/>
    <x v="2"/>
    <x v="7"/>
    <x v="0"/>
  </r>
  <r>
    <x v="1214"/>
    <x v="6"/>
    <x v="1"/>
    <n v="78.7"/>
    <n v="157.4"/>
    <x v="47"/>
    <d v="2025-02-17T00:00:00"/>
    <x v="2"/>
    <x v="2"/>
    <x v="1"/>
    <x v="0"/>
    <x v="3"/>
    <x v="7"/>
    <x v="7"/>
    <x v="2"/>
  </r>
  <r>
    <x v="1215"/>
    <x v="5"/>
    <x v="4"/>
    <n v="29.6"/>
    <n v="355.20000000000005"/>
    <x v="47"/>
    <d v="2025-02-21T00:00:00"/>
    <x v="1"/>
    <x v="2"/>
    <x v="4"/>
    <x v="0"/>
    <x v="3"/>
    <x v="5"/>
    <x v="7"/>
    <x v="1"/>
  </r>
  <r>
    <x v="1216"/>
    <x v="8"/>
    <x v="12"/>
    <n v="21.5"/>
    <n v="86"/>
    <x v="47"/>
    <d v="2025-02-20T00:00:00"/>
    <x v="1"/>
    <x v="1"/>
    <x v="0"/>
    <x v="0"/>
    <x v="3"/>
    <x v="2"/>
    <x v="7"/>
    <x v="1"/>
  </r>
  <r>
    <x v="1217"/>
    <x v="9"/>
    <x v="2"/>
    <n v="74.900000000000006"/>
    <n v="224.70000000000002"/>
    <x v="47"/>
    <d v="2025-02-26T00:00:00"/>
    <x v="1"/>
    <x v="3"/>
    <x v="1"/>
    <x v="0"/>
    <x v="3"/>
    <x v="8"/>
    <x v="7"/>
    <x v="1"/>
  </r>
  <r>
    <x v="1218"/>
    <x v="10"/>
    <x v="13"/>
    <n v="45"/>
    <n v="270"/>
    <x v="47"/>
    <d v="2025-02-22T00:00:00"/>
    <x v="2"/>
    <x v="2"/>
    <x v="0"/>
    <x v="0"/>
    <x v="3"/>
    <x v="0"/>
    <x v="7"/>
    <x v="2"/>
  </r>
  <r>
    <x v="1219"/>
    <x v="7"/>
    <x v="33"/>
    <n v="37.9"/>
    <n v="1288.5999999999999"/>
    <x v="47"/>
    <d v="2025-02-18T00:00:00"/>
    <x v="1"/>
    <x v="0"/>
    <x v="0"/>
    <x v="0"/>
    <x v="3"/>
    <x v="3"/>
    <x v="7"/>
    <x v="1"/>
  </r>
  <r>
    <x v="1220"/>
    <x v="6"/>
    <x v="2"/>
    <n v="56.6"/>
    <n v="169.8"/>
    <x v="47"/>
    <d v="2025-02-18T00:00:00"/>
    <x v="1"/>
    <x v="3"/>
    <x v="0"/>
    <x v="0"/>
    <x v="3"/>
    <x v="3"/>
    <x v="7"/>
    <x v="1"/>
  </r>
  <r>
    <x v="1221"/>
    <x v="3"/>
    <x v="15"/>
    <n v="84.5"/>
    <n v="1098.5"/>
    <x v="47"/>
    <d v="2025-02-20T00:00:00"/>
    <x v="2"/>
    <x v="1"/>
    <x v="4"/>
    <x v="0"/>
    <x v="3"/>
    <x v="2"/>
    <x v="7"/>
    <x v="2"/>
  </r>
  <r>
    <x v="1222"/>
    <x v="2"/>
    <x v="9"/>
    <n v="105.4"/>
    <n v="527"/>
    <x v="47"/>
    <d v="2025-02-19T00:00:00"/>
    <x v="2"/>
    <x v="1"/>
    <x v="1"/>
    <x v="0"/>
    <x v="3"/>
    <x v="1"/>
    <x v="7"/>
    <x v="2"/>
  </r>
  <r>
    <x v="1223"/>
    <x v="18"/>
    <x v="3"/>
    <n v="39.4"/>
    <n v="275.8"/>
    <x v="48"/>
    <d v="2025-02-18T00:00:00"/>
    <x v="1"/>
    <x v="1"/>
    <x v="0"/>
    <x v="0"/>
    <x v="37"/>
    <x v="7"/>
    <x v="7"/>
    <x v="1"/>
  </r>
  <r>
    <x v="1224"/>
    <x v="19"/>
    <x v="2"/>
    <n v="38"/>
    <n v="114"/>
    <x v="48"/>
    <d v="2025-02-21T00:00:00"/>
    <x v="1"/>
    <x v="4"/>
    <x v="1"/>
    <x v="0"/>
    <x v="6"/>
    <x v="2"/>
    <x v="7"/>
    <x v="1"/>
  </r>
  <r>
    <x v="1225"/>
    <x v="17"/>
    <x v="12"/>
    <n v="42.5"/>
    <n v="170"/>
    <x v="48"/>
    <d v="2025-02-20T00:00:00"/>
    <x v="0"/>
    <x v="0"/>
    <x v="0"/>
    <x v="0"/>
    <x v="6"/>
    <x v="1"/>
    <x v="7"/>
    <x v="0"/>
  </r>
  <r>
    <x v="1226"/>
    <x v="15"/>
    <x v="0"/>
    <n v="62.3"/>
    <n v="62.3"/>
    <x v="48"/>
    <d v="2025-02-27T00:00:00"/>
    <x v="1"/>
    <x v="0"/>
    <x v="2"/>
    <x v="0"/>
    <x v="6"/>
    <x v="8"/>
    <x v="7"/>
    <x v="1"/>
  </r>
  <r>
    <x v="1227"/>
    <x v="6"/>
    <x v="9"/>
    <n v="49.1"/>
    <n v="245.5"/>
    <x v="48"/>
    <d v="2025-02-20T00:00:00"/>
    <x v="2"/>
    <x v="1"/>
    <x v="2"/>
    <x v="0"/>
    <x v="7"/>
    <x v="1"/>
    <x v="7"/>
    <x v="2"/>
  </r>
  <r>
    <x v="1228"/>
    <x v="3"/>
    <x v="1"/>
    <n v="30.5"/>
    <n v="61"/>
    <x v="48"/>
    <d v="2025-02-21T00:00:00"/>
    <x v="1"/>
    <x v="0"/>
    <x v="2"/>
    <x v="0"/>
    <x v="8"/>
    <x v="2"/>
    <x v="7"/>
    <x v="1"/>
  </r>
  <r>
    <x v="1229"/>
    <x v="2"/>
    <x v="1"/>
    <n v="154.80000000000001"/>
    <n v="309.60000000000002"/>
    <x v="48"/>
    <d v="2025-02-21T00:00:00"/>
    <x v="2"/>
    <x v="1"/>
    <x v="4"/>
    <x v="0"/>
    <x v="8"/>
    <x v="2"/>
    <x v="7"/>
    <x v="2"/>
  </r>
  <r>
    <x v="1230"/>
    <x v="6"/>
    <x v="0"/>
    <n v="45"/>
    <n v="45"/>
    <x v="48"/>
    <d v="2025-02-22T00:00:00"/>
    <x v="1"/>
    <x v="3"/>
    <x v="1"/>
    <x v="0"/>
    <x v="8"/>
    <x v="5"/>
    <x v="7"/>
    <x v="1"/>
  </r>
  <r>
    <x v="1231"/>
    <x v="0"/>
    <x v="3"/>
    <n v="15.3"/>
    <n v="107.10000000000001"/>
    <x v="48"/>
    <d v="2025-02-19T00:00:00"/>
    <x v="1"/>
    <x v="0"/>
    <x v="2"/>
    <x v="0"/>
    <x v="8"/>
    <x v="3"/>
    <x v="7"/>
    <x v="1"/>
  </r>
  <r>
    <x v="1232"/>
    <x v="2"/>
    <x v="5"/>
    <n v="88.6"/>
    <n v="974.59999999999991"/>
    <x v="48"/>
    <d v="2025-02-21T00:00:00"/>
    <x v="2"/>
    <x v="0"/>
    <x v="4"/>
    <x v="0"/>
    <x v="17"/>
    <x v="2"/>
    <x v="7"/>
    <x v="2"/>
  </r>
  <r>
    <x v="1233"/>
    <x v="9"/>
    <x v="1"/>
    <n v="49.7"/>
    <n v="99.4"/>
    <x v="48"/>
    <d v="2025-02-20T00:00:00"/>
    <x v="3"/>
    <x v="4"/>
    <x v="0"/>
    <x v="0"/>
    <x v="10"/>
    <x v="1"/>
    <x v="7"/>
    <x v="3"/>
  </r>
  <r>
    <x v="1234"/>
    <x v="10"/>
    <x v="0"/>
    <n v="29"/>
    <n v="29"/>
    <x v="48"/>
    <d v="2025-02-19T00:00:00"/>
    <x v="1"/>
    <x v="0"/>
    <x v="0"/>
    <x v="0"/>
    <x v="11"/>
    <x v="3"/>
    <x v="7"/>
    <x v="1"/>
  </r>
  <r>
    <x v="1235"/>
    <x v="1"/>
    <x v="0"/>
    <n v="60.7"/>
    <n v="60.7"/>
    <x v="48"/>
    <d v="2025-02-19T00:00:00"/>
    <x v="3"/>
    <x v="0"/>
    <x v="1"/>
    <x v="0"/>
    <x v="11"/>
    <x v="3"/>
    <x v="7"/>
    <x v="3"/>
  </r>
  <r>
    <x v="1236"/>
    <x v="17"/>
    <x v="12"/>
    <n v="87.4"/>
    <n v="349.6"/>
    <x v="48"/>
    <d v="2025-02-20T00:00:00"/>
    <x v="0"/>
    <x v="0"/>
    <x v="0"/>
    <x v="0"/>
    <x v="11"/>
    <x v="1"/>
    <x v="7"/>
    <x v="0"/>
  </r>
  <r>
    <x v="1237"/>
    <x v="4"/>
    <x v="3"/>
    <n v="44.5"/>
    <n v="311.5"/>
    <x v="48"/>
    <d v="2025-02-22T00:00:00"/>
    <x v="2"/>
    <x v="2"/>
    <x v="2"/>
    <x v="0"/>
    <x v="19"/>
    <x v="5"/>
    <x v="7"/>
    <x v="2"/>
  </r>
  <r>
    <x v="1238"/>
    <x v="2"/>
    <x v="0"/>
    <n v="141"/>
    <n v="141"/>
    <x v="48"/>
    <d v="2025-02-19T00:00:00"/>
    <x v="1"/>
    <x v="4"/>
    <x v="2"/>
    <x v="0"/>
    <x v="19"/>
    <x v="3"/>
    <x v="7"/>
    <x v="1"/>
  </r>
  <r>
    <x v="1239"/>
    <x v="0"/>
    <x v="2"/>
    <n v="16.7"/>
    <n v="50.099999999999994"/>
    <x v="48"/>
    <d v="2025-02-26T00:00:00"/>
    <x v="2"/>
    <x v="0"/>
    <x v="0"/>
    <x v="0"/>
    <x v="20"/>
    <x v="9"/>
    <x v="7"/>
    <x v="2"/>
  </r>
  <r>
    <x v="1240"/>
    <x v="1"/>
    <x v="1"/>
    <n v="77.5"/>
    <n v="155"/>
    <x v="48"/>
    <d v="2025-02-19T00:00:00"/>
    <x v="0"/>
    <x v="2"/>
    <x v="2"/>
    <x v="0"/>
    <x v="13"/>
    <x v="3"/>
    <x v="7"/>
    <x v="0"/>
  </r>
  <r>
    <x v="1241"/>
    <x v="2"/>
    <x v="1"/>
    <n v="163"/>
    <n v="326"/>
    <x v="48"/>
    <d v="2025-02-24T00:00:00"/>
    <x v="2"/>
    <x v="4"/>
    <x v="0"/>
    <x v="0"/>
    <x v="21"/>
    <x v="4"/>
    <x v="7"/>
    <x v="2"/>
  </r>
  <r>
    <x v="1242"/>
    <x v="4"/>
    <x v="11"/>
    <n v="21.4"/>
    <n v="192.6"/>
    <x v="48"/>
    <d v="2025-02-21T00:00:00"/>
    <x v="2"/>
    <x v="0"/>
    <x v="0"/>
    <x v="0"/>
    <x v="51"/>
    <x v="2"/>
    <x v="7"/>
    <x v="2"/>
  </r>
  <r>
    <x v="1243"/>
    <x v="10"/>
    <x v="5"/>
    <n v="31"/>
    <n v="341"/>
    <x v="48"/>
    <d v="2025-02-20T00:00:00"/>
    <x v="2"/>
    <x v="3"/>
    <x v="2"/>
    <x v="0"/>
    <x v="1"/>
    <x v="1"/>
    <x v="7"/>
    <x v="2"/>
  </r>
  <r>
    <x v="1244"/>
    <x v="7"/>
    <x v="1"/>
    <n v="34.299999999999997"/>
    <n v="68.599999999999994"/>
    <x v="48"/>
    <d v="2025-02-20T00:00:00"/>
    <x v="2"/>
    <x v="0"/>
    <x v="3"/>
    <x v="0"/>
    <x v="1"/>
    <x v="1"/>
    <x v="7"/>
    <x v="2"/>
  </r>
  <r>
    <x v="1245"/>
    <x v="17"/>
    <x v="9"/>
    <n v="48.2"/>
    <n v="241"/>
    <x v="48"/>
    <d v="2025-02-19T00:00:00"/>
    <x v="1"/>
    <x v="1"/>
    <x v="1"/>
    <x v="0"/>
    <x v="2"/>
    <x v="3"/>
    <x v="7"/>
    <x v="1"/>
  </r>
  <r>
    <x v="1246"/>
    <x v="10"/>
    <x v="0"/>
    <n v="51.4"/>
    <n v="51.4"/>
    <x v="48"/>
    <d v="2025-02-19T00:00:00"/>
    <x v="1"/>
    <x v="0"/>
    <x v="0"/>
    <x v="0"/>
    <x v="3"/>
    <x v="3"/>
    <x v="7"/>
    <x v="1"/>
  </r>
  <r>
    <x v="1247"/>
    <x v="2"/>
    <x v="9"/>
    <n v="117.2"/>
    <n v="586"/>
    <x v="48"/>
    <d v="2025-02-21T00:00:00"/>
    <x v="2"/>
    <x v="4"/>
    <x v="4"/>
    <x v="0"/>
    <x v="3"/>
    <x v="2"/>
    <x v="7"/>
    <x v="2"/>
  </r>
  <r>
    <x v="1248"/>
    <x v="8"/>
    <x v="0"/>
    <n v="38.1"/>
    <n v="38.1"/>
    <x v="48"/>
    <d v="2025-02-18T00:00:00"/>
    <x v="1"/>
    <x v="4"/>
    <x v="1"/>
    <x v="0"/>
    <x v="3"/>
    <x v="7"/>
    <x v="7"/>
    <x v="1"/>
  </r>
  <r>
    <x v="1249"/>
    <x v="0"/>
    <x v="1"/>
    <n v="44.1"/>
    <n v="88.2"/>
    <x v="48"/>
    <d v="2025-02-20T00:00:00"/>
    <x v="2"/>
    <x v="2"/>
    <x v="0"/>
    <x v="0"/>
    <x v="3"/>
    <x v="1"/>
    <x v="7"/>
    <x v="2"/>
  </r>
  <r>
    <x v="1250"/>
    <x v="15"/>
    <x v="12"/>
    <n v="80.5"/>
    <n v="322"/>
    <x v="48"/>
    <d v="2025-02-23T00:00:00"/>
    <x v="1"/>
    <x v="0"/>
    <x v="0"/>
    <x v="0"/>
    <x v="3"/>
    <x v="0"/>
    <x v="7"/>
    <x v="1"/>
  </r>
  <r>
    <x v="1251"/>
    <x v="18"/>
    <x v="12"/>
    <n v="33.6"/>
    <n v="134.4"/>
    <x v="48"/>
    <d v="2025-02-23T00:00:00"/>
    <x v="0"/>
    <x v="0"/>
    <x v="2"/>
    <x v="0"/>
    <x v="3"/>
    <x v="0"/>
    <x v="7"/>
    <x v="0"/>
  </r>
  <r>
    <x v="1252"/>
    <x v="9"/>
    <x v="11"/>
    <n v="41.8"/>
    <n v="376.2"/>
    <x v="48"/>
    <d v="2025-02-19T00:00:00"/>
    <x v="2"/>
    <x v="0"/>
    <x v="1"/>
    <x v="0"/>
    <x v="3"/>
    <x v="3"/>
    <x v="7"/>
    <x v="2"/>
  </r>
  <r>
    <x v="1253"/>
    <x v="1"/>
    <x v="1"/>
    <n v="106.2"/>
    <n v="212.4"/>
    <x v="48"/>
    <d v="2025-02-18T00:00:00"/>
    <x v="2"/>
    <x v="4"/>
    <x v="2"/>
    <x v="0"/>
    <x v="3"/>
    <x v="7"/>
    <x v="7"/>
    <x v="2"/>
  </r>
  <r>
    <x v="1254"/>
    <x v="1"/>
    <x v="1"/>
    <n v="52.6"/>
    <n v="105.2"/>
    <x v="48"/>
    <d v="2025-02-19T00:00:00"/>
    <x v="2"/>
    <x v="0"/>
    <x v="2"/>
    <x v="0"/>
    <x v="5"/>
    <x v="3"/>
    <x v="7"/>
    <x v="2"/>
  </r>
  <r>
    <x v="1255"/>
    <x v="11"/>
    <x v="3"/>
    <n v="68.5"/>
    <n v="479.5"/>
    <x v="48"/>
    <d v="2025-02-19T00:00:00"/>
    <x v="2"/>
    <x v="1"/>
    <x v="0"/>
    <x v="0"/>
    <x v="5"/>
    <x v="3"/>
    <x v="7"/>
    <x v="2"/>
  </r>
  <r>
    <x v="1256"/>
    <x v="1"/>
    <x v="1"/>
    <n v="55.6"/>
    <n v="111.2"/>
    <x v="48"/>
    <d v="2025-02-20T00:00:00"/>
    <x v="1"/>
    <x v="1"/>
    <x v="2"/>
    <x v="0"/>
    <x v="6"/>
    <x v="1"/>
    <x v="7"/>
    <x v="1"/>
  </r>
  <r>
    <x v="1257"/>
    <x v="2"/>
    <x v="2"/>
    <n v="134.9"/>
    <n v="404.70000000000005"/>
    <x v="48"/>
    <d v="2025-02-19T00:00:00"/>
    <x v="1"/>
    <x v="1"/>
    <x v="1"/>
    <x v="0"/>
    <x v="6"/>
    <x v="3"/>
    <x v="7"/>
    <x v="1"/>
  </r>
  <r>
    <x v="1258"/>
    <x v="10"/>
    <x v="9"/>
    <n v="42.6"/>
    <n v="213"/>
    <x v="48"/>
    <d v="2025-02-19T00:00:00"/>
    <x v="1"/>
    <x v="0"/>
    <x v="0"/>
    <x v="0"/>
    <x v="6"/>
    <x v="3"/>
    <x v="7"/>
    <x v="1"/>
  </r>
  <r>
    <x v="1259"/>
    <x v="7"/>
    <x v="9"/>
    <n v="60.6"/>
    <n v="303"/>
    <x v="48"/>
    <d v="2025-02-20T00:00:00"/>
    <x v="1"/>
    <x v="4"/>
    <x v="0"/>
    <x v="0"/>
    <x v="6"/>
    <x v="1"/>
    <x v="7"/>
    <x v="1"/>
  </r>
  <r>
    <x v="1260"/>
    <x v="8"/>
    <x v="1"/>
    <n v="43.5"/>
    <n v="87"/>
    <x v="48"/>
    <d v="2025-02-19T00:00:00"/>
    <x v="1"/>
    <x v="4"/>
    <x v="0"/>
    <x v="0"/>
    <x v="7"/>
    <x v="3"/>
    <x v="7"/>
    <x v="1"/>
  </r>
  <r>
    <x v="1261"/>
    <x v="2"/>
    <x v="1"/>
    <n v="187.1"/>
    <n v="374.2"/>
    <x v="48"/>
    <d v="2025-02-19T00:00:00"/>
    <x v="1"/>
    <x v="1"/>
    <x v="2"/>
    <x v="0"/>
    <x v="8"/>
    <x v="3"/>
    <x v="7"/>
    <x v="1"/>
  </r>
  <r>
    <x v="1262"/>
    <x v="9"/>
    <x v="2"/>
    <n v="32"/>
    <n v="96"/>
    <x v="48"/>
    <d v="2025-02-20T00:00:00"/>
    <x v="1"/>
    <x v="0"/>
    <x v="0"/>
    <x v="0"/>
    <x v="8"/>
    <x v="1"/>
    <x v="7"/>
    <x v="1"/>
  </r>
  <r>
    <x v="1263"/>
    <x v="9"/>
    <x v="1"/>
    <n v="110.8"/>
    <n v="221.6"/>
    <x v="48"/>
    <d v="2025-02-18T00:00:00"/>
    <x v="1"/>
    <x v="0"/>
    <x v="2"/>
    <x v="0"/>
    <x v="8"/>
    <x v="7"/>
    <x v="7"/>
    <x v="1"/>
  </r>
  <r>
    <x v="1264"/>
    <x v="10"/>
    <x v="15"/>
    <n v="36.1"/>
    <n v="469.3"/>
    <x v="48"/>
    <d v="2025-02-21T00:00:00"/>
    <x v="2"/>
    <x v="0"/>
    <x v="1"/>
    <x v="0"/>
    <x v="8"/>
    <x v="2"/>
    <x v="7"/>
    <x v="2"/>
  </r>
  <r>
    <x v="1265"/>
    <x v="0"/>
    <x v="0"/>
    <n v="24.1"/>
    <n v="24.1"/>
    <x v="48"/>
    <d v="2025-02-20T00:00:00"/>
    <x v="2"/>
    <x v="4"/>
    <x v="2"/>
    <x v="0"/>
    <x v="8"/>
    <x v="1"/>
    <x v="7"/>
    <x v="2"/>
  </r>
  <r>
    <x v="1266"/>
    <x v="19"/>
    <x v="2"/>
    <n v="30.5"/>
    <n v="91.5"/>
    <x v="48"/>
    <d v="2025-02-20T00:00:00"/>
    <x v="1"/>
    <x v="1"/>
    <x v="0"/>
    <x v="0"/>
    <x v="8"/>
    <x v="1"/>
    <x v="7"/>
    <x v="1"/>
  </r>
  <r>
    <x v="1267"/>
    <x v="18"/>
    <x v="13"/>
    <n v="68.3"/>
    <n v="409.79999999999995"/>
    <x v="48"/>
    <d v="2025-02-21T00:00:00"/>
    <x v="1"/>
    <x v="0"/>
    <x v="0"/>
    <x v="0"/>
    <x v="8"/>
    <x v="2"/>
    <x v="7"/>
    <x v="1"/>
  </r>
  <r>
    <x v="1268"/>
    <x v="7"/>
    <x v="2"/>
    <n v="43.3"/>
    <n v="129.89999999999998"/>
    <x v="48"/>
    <d v="2025-02-22T00:00:00"/>
    <x v="2"/>
    <x v="0"/>
    <x v="0"/>
    <x v="0"/>
    <x v="17"/>
    <x v="5"/>
    <x v="7"/>
    <x v="2"/>
  </r>
  <r>
    <x v="1269"/>
    <x v="3"/>
    <x v="0"/>
    <n v="101.7"/>
    <n v="101.7"/>
    <x v="48"/>
    <d v="2025-02-21T00:00:00"/>
    <x v="2"/>
    <x v="0"/>
    <x v="1"/>
    <x v="0"/>
    <x v="17"/>
    <x v="2"/>
    <x v="7"/>
    <x v="2"/>
  </r>
  <r>
    <x v="1270"/>
    <x v="11"/>
    <x v="1"/>
    <n v="54.2"/>
    <n v="108.4"/>
    <x v="48"/>
    <d v="2025-02-19T00:00:00"/>
    <x v="2"/>
    <x v="0"/>
    <x v="1"/>
    <x v="0"/>
    <x v="17"/>
    <x v="3"/>
    <x v="7"/>
    <x v="2"/>
  </r>
  <r>
    <x v="1271"/>
    <x v="16"/>
    <x v="1"/>
    <n v="51"/>
    <n v="102"/>
    <x v="48"/>
    <d v="2025-02-18T00:00:00"/>
    <x v="1"/>
    <x v="1"/>
    <x v="0"/>
    <x v="0"/>
    <x v="26"/>
    <x v="7"/>
    <x v="7"/>
    <x v="1"/>
  </r>
  <r>
    <x v="1272"/>
    <x v="4"/>
    <x v="1"/>
    <n v="23.1"/>
    <n v="46.2"/>
    <x v="48"/>
    <d v="2025-02-21T00:00:00"/>
    <x v="1"/>
    <x v="1"/>
    <x v="0"/>
    <x v="0"/>
    <x v="10"/>
    <x v="2"/>
    <x v="7"/>
    <x v="1"/>
  </r>
  <r>
    <x v="1273"/>
    <x v="12"/>
    <x v="13"/>
    <n v="60.1"/>
    <n v="360.6"/>
    <x v="48"/>
    <d v="2025-02-18T00:00:00"/>
    <x v="2"/>
    <x v="3"/>
    <x v="0"/>
    <x v="0"/>
    <x v="11"/>
    <x v="7"/>
    <x v="7"/>
    <x v="2"/>
  </r>
  <r>
    <x v="1274"/>
    <x v="2"/>
    <x v="3"/>
    <n v="87.5"/>
    <n v="612.5"/>
    <x v="48"/>
    <d v="2025-02-20T00:00:00"/>
    <x v="2"/>
    <x v="0"/>
    <x v="1"/>
    <x v="0"/>
    <x v="11"/>
    <x v="1"/>
    <x v="7"/>
    <x v="2"/>
  </r>
  <r>
    <x v="1275"/>
    <x v="1"/>
    <x v="2"/>
    <n v="51"/>
    <n v="153"/>
    <x v="48"/>
    <d v="2025-02-19T00:00:00"/>
    <x v="2"/>
    <x v="1"/>
    <x v="0"/>
    <x v="0"/>
    <x v="11"/>
    <x v="3"/>
    <x v="7"/>
    <x v="2"/>
  </r>
  <r>
    <x v="1276"/>
    <x v="8"/>
    <x v="12"/>
    <n v="19.2"/>
    <n v="76.8"/>
    <x v="48"/>
    <d v="2025-02-20T00:00:00"/>
    <x v="2"/>
    <x v="0"/>
    <x v="0"/>
    <x v="0"/>
    <x v="11"/>
    <x v="1"/>
    <x v="7"/>
    <x v="2"/>
  </r>
  <r>
    <x v="1277"/>
    <x v="5"/>
    <x v="8"/>
    <n v="26.5"/>
    <n v="212"/>
    <x v="48"/>
    <d v="2025-02-19T00:00:00"/>
    <x v="0"/>
    <x v="3"/>
    <x v="2"/>
    <x v="0"/>
    <x v="11"/>
    <x v="3"/>
    <x v="7"/>
    <x v="0"/>
  </r>
  <r>
    <x v="1278"/>
    <x v="2"/>
    <x v="1"/>
    <n v="220.3"/>
    <n v="440.6"/>
    <x v="48"/>
    <d v="2025-02-19T00:00:00"/>
    <x v="2"/>
    <x v="1"/>
    <x v="4"/>
    <x v="0"/>
    <x v="53"/>
    <x v="3"/>
    <x v="7"/>
    <x v="2"/>
  </r>
  <r>
    <x v="1279"/>
    <x v="8"/>
    <x v="2"/>
    <n v="45.7"/>
    <n v="137.10000000000002"/>
    <x v="48"/>
    <d v="2025-02-19T00:00:00"/>
    <x v="2"/>
    <x v="4"/>
    <x v="0"/>
    <x v="0"/>
    <x v="30"/>
    <x v="3"/>
    <x v="7"/>
    <x v="2"/>
  </r>
  <r>
    <x v="1280"/>
    <x v="5"/>
    <x v="9"/>
    <n v="47.1"/>
    <n v="235.5"/>
    <x v="48"/>
    <d v="2025-02-22T00:00:00"/>
    <x v="2"/>
    <x v="3"/>
    <x v="0"/>
    <x v="0"/>
    <x v="13"/>
    <x v="5"/>
    <x v="7"/>
    <x v="2"/>
  </r>
  <r>
    <x v="1281"/>
    <x v="1"/>
    <x v="9"/>
    <n v="81.7"/>
    <n v="408.5"/>
    <x v="48"/>
    <d v="2025-02-19T00:00:00"/>
    <x v="2"/>
    <x v="0"/>
    <x v="2"/>
    <x v="0"/>
    <x v="21"/>
    <x v="3"/>
    <x v="7"/>
    <x v="2"/>
  </r>
  <r>
    <x v="1282"/>
    <x v="6"/>
    <x v="7"/>
    <n v="97.8"/>
    <n v="978"/>
    <x v="48"/>
    <d v="2025-02-18T00:00:00"/>
    <x v="1"/>
    <x v="1"/>
    <x v="1"/>
    <x v="0"/>
    <x v="21"/>
    <x v="7"/>
    <x v="7"/>
    <x v="1"/>
  </r>
  <r>
    <x v="1283"/>
    <x v="6"/>
    <x v="2"/>
    <n v="42.4"/>
    <n v="127.19999999999999"/>
    <x v="48"/>
    <d v="2025-02-19T00:00:00"/>
    <x v="2"/>
    <x v="0"/>
    <x v="2"/>
    <x v="0"/>
    <x v="54"/>
    <x v="3"/>
    <x v="7"/>
    <x v="2"/>
  </r>
  <r>
    <x v="1284"/>
    <x v="2"/>
    <x v="7"/>
    <n v="74.5"/>
    <n v="745"/>
    <x v="48"/>
    <d v="2025-02-19T00:00:00"/>
    <x v="1"/>
    <x v="2"/>
    <x v="1"/>
    <x v="0"/>
    <x v="1"/>
    <x v="3"/>
    <x v="7"/>
    <x v="1"/>
  </r>
  <r>
    <x v="1285"/>
    <x v="17"/>
    <x v="13"/>
    <n v="47.4"/>
    <n v="284.39999999999998"/>
    <x v="48"/>
    <d v="2025-02-19T00:00:00"/>
    <x v="1"/>
    <x v="1"/>
    <x v="0"/>
    <x v="0"/>
    <x v="1"/>
    <x v="3"/>
    <x v="7"/>
    <x v="1"/>
  </r>
  <r>
    <x v="1286"/>
    <x v="14"/>
    <x v="2"/>
    <n v="17.3"/>
    <n v="51.900000000000006"/>
    <x v="49"/>
    <d v="2025-02-22T00:00:00"/>
    <x v="1"/>
    <x v="2"/>
    <x v="2"/>
    <x v="0"/>
    <x v="1"/>
    <x v="2"/>
    <x v="7"/>
    <x v="1"/>
  </r>
  <r>
    <x v="1287"/>
    <x v="12"/>
    <x v="12"/>
    <n v="77.900000000000006"/>
    <n v="311.60000000000002"/>
    <x v="49"/>
    <d v="2025-02-20T00:00:00"/>
    <x v="1"/>
    <x v="1"/>
    <x v="0"/>
    <x v="0"/>
    <x v="2"/>
    <x v="3"/>
    <x v="7"/>
    <x v="1"/>
  </r>
  <r>
    <x v="1288"/>
    <x v="8"/>
    <x v="0"/>
    <n v="29.1"/>
    <n v="29.1"/>
    <x v="49"/>
    <d v="2025-02-22T00:00:00"/>
    <x v="1"/>
    <x v="0"/>
    <x v="2"/>
    <x v="0"/>
    <x v="50"/>
    <x v="2"/>
    <x v="7"/>
    <x v="1"/>
  </r>
  <r>
    <x v="1289"/>
    <x v="8"/>
    <x v="0"/>
    <n v="49"/>
    <n v="49"/>
    <x v="49"/>
    <d v="2025-02-20T00:00:00"/>
    <x v="1"/>
    <x v="1"/>
    <x v="0"/>
    <x v="0"/>
    <x v="3"/>
    <x v="3"/>
    <x v="7"/>
    <x v="1"/>
  </r>
  <r>
    <x v="1290"/>
    <x v="8"/>
    <x v="13"/>
    <n v="21.1"/>
    <n v="126.60000000000001"/>
    <x v="49"/>
    <d v="2025-02-26T00:00:00"/>
    <x v="1"/>
    <x v="0"/>
    <x v="2"/>
    <x v="0"/>
    <x v="3"/>
    <x v="6"/>
    <x v="7"/>
    <x v="1"/>
  </r>
  <r>
    <x v="1291"/>
    <x v="4"/>
    <x v="10"/>
    <n v="36.9"/>
    <n v="701.1"/>
    <x v="49"/>
    <d v="2025-02-19T00:00:00"/>
    <x v="2"/>
    <x v="0"/>
    <x v="0"/>
    <x v="0"/>
    <x v="3"/>
    <x v="7"/>
    <x v="7"/>
    <x v="2"/>
  </r>
  <r>
    <x v="1292"/>
    <x v="1"/>
    <x v="7"/>
    <n v="92.6"/>
    <n v="926"/>
    <x v="49"/>
    <d v="2025-02-24T00:00:00"/>
    <x v="1"/>
    <x v="4"/>
    <x v="2"/>
    <x v="0"/>
    <x v="3"/>
    <x v="0"/>
    <x v="7"/>
    <x v="1"/>
  </r>
  <r>
    <x v="1293"/>
    <x v="10"/>
    <x v="1"/>
    <n v="38"/>
    <n v="76"/>
    <x v="49"/>
    <d v="2025-02-20T00:00:00"/>
    <x v="1"/>
    <x v="1"/>
    <x v="1"/>
    <x v="0"/>
    <x v="3"/>
    <x v="3"/>
    <x v="7"/>
    <x v="1"/>
  </r>
  <r>
    <x v="1294"/>
    <x v="5"/>
    <x v="2"/>
    <n v="54.8"/>
    <n v="164.39999999999998"/>
    <x v="49"/>
    <d v="2025-02-23T00:00:00"/>
    <x v="0"/>
    <x v="0"/>
    <x v="1"/>
    <x v="0"/>
    <x v="3"/>
    <x v="5"/>
    <x v="7"/>
    <x v="0"/>
  </r>
  <r>
    <x v="1295"/>
    <x v="10"/>
    <x v="4"/>
    <n v="56.8"/>
    <n v="681.59999999999991"/>
    <x v="49"/>
    <d v="2025-02-21T00:00:00"/>
    <x v="1"/>
    <x v="1"/>
    <x v="0"/>
    <x v="0"/>
    <x v="3"/>
    <x v="1"/>
    <x v="7"/>
    <x v="1"/>
  </r>
  <r>
    <x v="1296"/>
    <x v="11"/>
    <x v="40"/>
    <n v="47.2"/>
    <n v="1557.6000000000001"/>
    <x v="49"/>
    <d v="2025-02-22T00:00:00"/>
    <x v="2"/>
    <x v="1"/>
    <x v="0"/>
    <x v="0"/>
    <x v="3"/>
    <x v="2"/>
    <x v="7"/>
    <x v="2"/>
  </r>
  <r>
    <x v="1297"/>
    <x v="7"/>
    <x v="13"/>
    <n v="45.1"/>
    <n v="270.60000000000002"/>
    <x v="49"/>
    <d v="2025-02-20T00:00:00"/>
    <x v="2"/>
    <x v="2"/>
    <x v="0"/>
    <x v="0"/>
    <x v="43"/>
    <x v="3"/>
    <x v="7"/>
    <x v="2"/>
  </r>
  <r>
    <x v="1298"/>
    <x v="4"/>
    <x v="4"/>
    <n v="25.2"/>
    <n v="302.39999999999998"/>
    <x v="49"/>
    <d v="2025-02-24T00:00:00"/>
    <x v="2"/>
    <x v="2"/>
    <x v="0"/>
    <x v="0"/>
    <x v="16"/>
    <x v="0"/>
    <x v="7"/>
    <x v="2"/>
  </r>
  <r>
    <x v="1299"/>
    <x v="8"/>
    <x v="0"/>
    <n v="22"/>
    <n v="22"/>
    <x v="49"/>
    <d v="2025-02-20T00:00:00"/>
    <x v="2"/>
    <x v="0"/>
    <x v="0"/>
    <x v="0"/>
    <x v="5"/>
    <x v="3"/>
    <x v="7"/>
    <x v="2"/>
  </r>
  <r>
    <x v="1300"/>
    <x v="6"/>
    <x v="1"/>
    <n v="42.2"/>
    <n v="84.4"/>
    <x v="49"/>
    <d v="2025-02-20T00:00:00"/>
    <x v="2"/>
    <x v="1"/>
    <x v="1"/>
    <x v="0"/>
    <x v="23"/>
    <x v="3"/>
    <x v="7"/>
    <x v="2"/>
  </r>
  <r>
    <x v="1301"/>
    <x v="13"/>
    <x v="2"/>
    <n v="20.5"/>
    <n v="61.5"/>
    <x v="49"/>
    <d v="2025-02-20T00:00:00"/>
    <x v="1"/>
    <x v="0"/>
    <x v="1"/>
    <x v="0"/>
    <x v="6"/>
    <x v="3"/>
    <x v="7"/>
    <x v="1"/>
  </r>
  <r>
    <x v="1302"/>
    <x v="2"/>
    <x v="0"/>
    <n v="190.4"/>
    <n v="190.4"/>
    <x v="49"/>
    <d v="2025-02-24T00:00:00"/>
    <x v="1"/>
    <x v="1"/>
    <x v="4"/>
    <x v="0"/>
    <x v="6"/>
    <x v="0"/>
    <x v="7"/>
    <x v="1"/>
  </r>
  <r>
    <x v="1303"/>
    <x v="2"/>
    <x v="0"/>
    <n v="121.9"/>
    <n v="121.9"/>
    <x v="49"/>
    <d v="2025-02-21T00:00:00"/>
    <x v="2"/>
    <x v="1"/>
    <x v="2"/>
    <x v="0"/>
    <x v="6"/>
    <x v="1"/>
    <x v="7"/>
    <x v="2"/>
  </r>
  <r>
    <x v="1304"/>
    <x v="2"/>
    <x v="13"/>
    <n v="149.19999999999999"/>
    <n v="895.19999999999993"/>
    <x v="49"/>
    <d v="2025-02-20T00:00:00"/>
    <x v="2"/>
    <x v="2"/>
    <x v="2"/>
    <x v="0"/>
    <x v="7"/>
    <x v="3"/>
    <x v="7"/>
    <x v="2"/>
  </r>
  <r>
    <x v="1305"/>
    <x v="2"/>
    <x v="0"/>
    <n v="54.1"/>
    <n v="54.1"/>
    <x v="49"/>
    <d v="2025-02-28T00:00:00"/>
    <x v="2"/>
    <x v="2"/>
    <x v="2"/>
    <x v="0"/>
    <x v="7"/>
    <x v="8"/>
    <x v="7"/>
    <x v="2"/>
  </r>
  <r>
    <x v="1306"/>
    <x v="5"/>
    <x v="1"/>
    <n v="27.4"/>
    <n v="54.8"/>
    <x v="49"/>
    <d v="2025-02-21T00:00:00"/>
    <x v="1"/>
    <x v="1"/>
    <x v="0"/>
    <x v="0"/>
    <x v="8"/>
    <x v="1"/>
    <x v="7"/>
    <x v="1"/>
  </r>
  <r>
    <x v="1307"/>
    <x v="0"/>
    <x v="15"/>
    <n v="30.4"/>
    <n v="395.2"/>
    <x v="49"/>
    <d v="2025-02-20T00:00:00"/>
    <x v="2"/>
    <x v="0"/>
    <x v="2"/>
    <x v="0"/>
    <x v="8"/>
    <x v="3"/>
    <x v="7"/>
    <x v="2"/>
  </r>
  <r>
    <x v="1308"/>
    <x v="12"/>
    <x v="2"/>
    <n v="46.2"/>
    <n v="138.60000000000002"/>
    <x v="49"/>
    <d v="2025-02-21T00:00:00"/>
    <x v="1"/>
    <x v="2"/>
    <x v="1"/>
    <x v="0"/>
    <x v="17"/>
    <x v="1"/>
    <x v="7"/>
    <x v="1"/>
  </r>
  <r>
    <x v="1309"/>
    <x v="7"/>
    <x v="8"/>
    <n v="78.599999999999994"/>
    <n v="628.79999999999995"/>
    <x v="49"/>
    <d v="2025-02-23T00:00:00"/>
    <x v="1"/>
    <x v="3"/>
    <x v="0"/>
    <x v="0"/>
    <x v="17"/>
    <x v="5"/>
    <x v="7"/>
    <x v="1"/>
  </r>
  <r>
    <x v="1310"/>
    <x v="17"/>
    <x v="7"/>
    <n v="25.9"/>
    <n v="259"/>
    <x v="49"/>
    <d v="2025-02-25T00:00:00"/>
    <x v="1"/>
    <x v="4"/>
    <x v="0"/>
    <x v="0"/>
    <x v="9"/>
    <x v="4"/>
    <x v="7"/>
    <x v="1"/>
  </r>
  <r>
    <x v="1311"/>
    <x v="6"/>
    <x v="0"/>
    <n v="134.80000000000001"/>
    <n v="134.80000000000001"/>
    <x v="49"/>
    <d v="2025-02-21T00:00:00"/>
    <x v="1"/>
    <x v="2"/>
    <x v="2"/>
    <x v="0"/>
    <x v="9"/>
    <x v="1"/>
    <x v="7"/>
    <x v="1"/>
  </r>
  <r>
    <x v="1312"/>
    <x v="15"/>
    <x v="9"/>
    <n v="43.1"/>
    <n v="215.5"/>
    <x v="49"/>
    <d v="2025-02-21T00:00:00"/>
    <x v="2"/>
    <x v="0"/>
    <x v="0"/>
    <x v="0"/>
    <x v="11"/>
    <x v="1"/>
    <x v="7"/>
    <x v="2"/>
  </r>
  <r>
    <x v="1313"/>
    <x v="2"/>
    <x v="1"/>
    <n v="215.6"/>
    <n v="431.2"/>
    <x v="49"/>
    <d v="2025-02-20T00:00:00"/>
    <x v="2"/>
    <x v="2"/>
    <x v="0"/>
    <x v="0"/>
    <x v="18"/>
    <x v="3"/>
    <x v="7"/>
    <x v="2"/>
  </r>
  <r>
    <x v="1314"/>
    <x v="6"/>
    <x v="1"/>
    <n v="80.7"/>
    <n v="161.4"/>
    <x v="49"/>
    <d v="2025-02-22T00:00:00"/>
    <x v="2"/>
    <x v="3"/>
    <x v="0"/>
    <x v="0"/>
    <x v="18"/>
    <x v="2"/>
    <x v="7"/>
    <x v="2"/>
  </r>
  <r>
    <x v="1315"/>
    <x v="10"/>
    <x v="3"/>
    <n v="20.6"/>
    <n v="144.20000000000002"/>
    <x v="49"/>
    <d v="2025-02-24T00:00:00"/>
    <x v="0"/>
    <x v="2"/>
    <x v="1"/>
    <x v="0"/>
    <x v="19"/>
    <x v="0"/>
    <x v="7"/>
    <x v="0"/>
  </r>
  <r>
    <x v="1316"/>
    <x v="12"/>
    <x v="2"/>
    <n v="37.1"/>
    <n v="111.30000000000001"/>
    <x v="49"/>
    <d v="2025-02-20T00:00:00"/>
    <x v="2"/>
    <x v="0"/>
    <x v="0"/>
    <x v="0"/>
    <x v="52"/>
    <x v="3"/>
    <x v="7"/>
    <x v="2"/>
  </r>
  <r>
    <x v="1317"/>
    <x v="12"/>
    <x v="0"/>
    <n v="104.8"/>
    <n v="104.8"/>
    <x v="50"/>
    <d v="2025-02-22T00:00:00"/>
    <x v="2"/>
    <x v="0"/>
    <x v="0"/>
    <x v="0"/>
    <x v="13"/>
    <x v="1"/>
    <x v="7"/>
    <x v="2"/>
  </r>
  <r>
    <x v="1318"/>
    <x v="8"/>
    <x v="1"/>
    <n v="59"/>
    <n v="118"/>
    <x v="50"/>
    <d v="2025-02-21T00:00:00"/>
    <x v="1"/>
    <x v="1"/>
    <x v="0"/>
    <x v="0"/>
    <x v="21"/>
    <x v="3"/>
    <x v="7"/>
    <x v="1"/>
  </r>
  <r>
    <x v="1319"/>
    <x v="8"/>
    <x v="1"/>
    <n v="32.299999999999997"/>
    <n v="64.599999999999994"/>
    <x v="50"/>
    <d v="2025-02-21T00:00:00"/>
    <x v="1"/>
    <x v="0"/>
    <x v="2"/>
    <x v="0"/>
    <x v="21"/>
    <x v="3"/>
    <x v="7"/>
    <x v="1"/>
  </r>
  <r>
    <x v="1320"/>
    <x v="8"/>
    <x v="12"/>
    <n v="28.9"/>
    <n v="115.6"/>
    <x v="50"/>
    <d v="2025-02-27T00:00:00"/>
    <x v="1"/>
    <x v="0"/>
    <x v="0"/>
    <x v="0"/>
    <x v="1"/>
    <x v="6"/>
    <x v="7"/>
    <x v="1"/>
  </r>
  <r>
    <x v="1321"/>
    <x v="0"/>
    <x v="1"/>
    <n v="29.6"/>
    <n v="59.2"/>
    <x v="50"/>
    <d v="2025-02-22T00:00:00"/>
    <x v="1"/>
    <x v="0"/>
    <x v="0"/>
    <x v="0"/>
    <x v="1"/>
    <x v="1"/>
    <x v="7"/>
    <x v="1"/>
  </r>
  <r>
    <x v="1322"/>
    <x v="0"/>
    <x v="9"/>
    <n v="29.4"/>
    <n v="147"/>
    <x v="50"/>
    <d v="2025-02-23T00:00:00"/>
    <x v="2"/>
    <x v="0"/>
    <x v="0"/>
    <x v="0"/>
    <x v="1"/>
    <x v="2"/>
    <x v="7"/>
    <x v="2"/>
  </r>
  <r>
    <x v="1323"/>
    <x v="1"/>
    <x v="1"/>
    <n v="40.6"/>
    <n v="81.2"/>
    <x v="50"/>
    <d v="2025-02-21T00:00:00"/>
    <x v="1"/>
    <x v="0"/>
    <x v="4"/>
    <x v="0"/>
    <x v="2"/>
    <x v="3"/>
    <x v="7"/>
    <x v="1"/>
  </r>
  <r>
    <x v="1324"/>
    <x v="0"/>
    <x v="2"/>
    <n v="32.5"/>
    <n v="97.5"/>
    <x v="50"/>
    <d v="2025-02-21T00:00:00"/>
    <x v="1"/>
    <x v="3"/>
    <x v="2"/>
    <x v="0"/>
    <x v="22"/>
    <x v="3"/>
    <x v="7"/>
    <x v="1"/>
  </r>
  <r>
    <x v="1325"/>
    <x v="15"/>
    <x v="0"/>
    <n v="26.2"/>
    <n v="26.2"/>
    <x v="50"/>
    <d v="2025-02-22T00:00:00"/>
    <x v="1"/>
    <x v="2"/>
    <x v="0"/>
    <x v="0"/>
    <x v="55"/>
    <x v="1"/>
    <x v="7"/>
    <x v="1"/>
  </r>
  <r>
    <x v="1326"/>
    <x v="10"/>
    <x v="17"/>
    <n v="44"/>
    <n v="1320"/>
    <x v="50"/>
    <d v="2025-02-26T00:00:00"/>
    <x v="1"/>
    <x v="4"/>
    <x v="0"/>
    <x v="0"/>
    <x v="3"/>
    <x v="4"/>
    <x v="7"/>
    <x v="1"/>
  </r>
  <r>
    <x v="1327"/>
    <x v="7"/>
    <x v="12"/>
    <n v="65.599999999999994"/>
    <n v="262.39999999999998"/>
    <x v="50"/>
    <d v="2025-02-21T00:00:00"/>
    <x v="2"/>
    <x v="1"/>
    <x v="1"/>
    <x v="0"/>
    <x v="3"/>
    <x v="3"/>
    <x v="7"/>
    <x v="2"/>
  </r>
  <r>
    <x v="1328"/>
    <x v="5"/>
    <x v="4"/>
    <n v="32.6"/>
    <n v="391.20000000000005"/>
    <x v="50"/>
    <d v="2025-02-21T00:00:00"/>
    <x v="1"/>
    <x v="4"/>
    <x v="0"/>
    <x v="0"/>
    <x v="3"/>
    <x v="3"/>
    <x v="7"/>
    <x v="1"/>
  </r>
  <r>
    <x v="1329"/>
    <x v="16"/>
    <x v="1"/>
    <n v="88.7"/>
    <n v="177.4"/>
    <x v="50"/>
    <d v="2025-02-21T00:00:00"/>
    <x v="0"/>
    <x v="3"/>
    <x v="2"/>
    <x v="0"/>
    <x v="3"/>
    <x v="3"/>
    <x v="7"/>
    <x v="0"/>
  </r>
  <r>
    <x v="1330"/>
    <x v="4"/>
    <x v="1"/>
    <n v="21.3"/>
    <n v="42.6"/>
    <x v="50"/>
    <d v="2025-02-21T00:00:00"/>
    <x v="1"/>
    <x v="0"/>
    <x v="0"/>
    <x v="0"/>
    <x v="3"/>
    <x v="3"/>
    <x v="7"/>
    <x v="1"/>
  </r>
  <r>
    <x v="1331"/>
    <x v="4"/>
    <x v="13"/>
    <n v="50.6"/>
    <n v="303.60000000000002"/>
    <x v="50"/>
    <d v="2025-02-24T00:00:00"/>
    <x v="2"/>
    <x v="2"/>
    <x v="0"/>
    <x v="0"/>
    <x v="3"/>
    <x v="5"/>
    <x v="7"/>
    <x v="2"/>
  </r>
  <r>
    <x v="1332"/>
    <x v="9"/>
    <x v="38"/>
    <n v="86.9"/>
    <n v="1824.9"/>
    <x v="50"/>
    <d v="2025-02-23T00:00:00"/>
    <x v="2"/>
    <x v="0"/>
    <x v="1"/>
    <x v="0"/>
    <x v="3"/>
    <x v="2"/>
    <x v="7"/>
    <x v="2"/>
  </r>
  <r>
    <x v="1333"/>
    <x v="11"/>
    <x v="2"/>
    <n v="31.8"/>
    <n v="95.4"/>
    <x v="50"/>
    <d v="2025-02-22T00:00:00"/>
    <x v="1"/>
    <x v="0"/>
    <x v="2"/>
    <x v="0"/>
    <x v="3"/>
    <x v="1"/>
    <x v="7"/>
    <x v="1"/>
  </r>
  <r>
    <x v="1334"/>
    <x v="8"/>
    <x v="0"/>
    <n v="19"/>
    <n v="19"/>
    <x v="50"/>
    <d v="2025-02-21T00:00:00"/>
    <x v="2"/>
    <x v="0"/>
    <x v="2"/>
    <x v="0"/>
    <x v="3"/>
    <x v="3"/>
    <x v="7"/>
    <x v="2"/>
  </r>
  <r>
    <x v="1335"/>
    <x v="5"/>
    <x v="0"/>
    <n v="54.5"/>
    <n v="54.5"/>
    <x v="50"/>
    <d v="2025-02-22T00:00:00"/>
    <x v="1"/>
    <x v="0"/>
    <x v="0"/>
    <x v="0"/>
    <x v="3"/>
    <x v="1"/>
    <x v="7"/>
    <x v="1"/>
  </r>
  <r>
    <x v="1336"/>
    <x v="9"/>
    <x v="9"/>
    <n v="68.900000000000006"/>
    <n v="344.5"/>
    <x v="50"/>
    <d v="2025-02-22T00:00:00"/>
    <x v="1"/>
    <x v="4"/>
    <x v="1"/>
    <x v="0"/>
    <x v="3"/>
    <x v="1"/>
    <x v="7"/>
    <x v="1"/>
  </r>
  <r>
    <x v="1337"/>
    <x v="6"/>
    <x v="2"/>
    <n v="84"/>
    <n v="252"/>
    <x v="50"/>
    <d v="2025-02-21T00:00:00"/>
    <x v="1"/>
    <x v="1"/>
    <x v="4"/>
    <x v="0"/>
    <x v="16"/>
    <x v="3"/>
    <x v="7"/>
    <x v="1"/>
  </r>
  <r>
    <x v="1338"/>
    <x v="15"/>
    <x v="8"/>
    <n v="23.1"/>
    <n v="184.8"/>
    <x v="50"/>
    <d v="2025-02-25T00:00:00"/>
    <x v="1"/>
    <x v="0"/>
    <x v="2"/>
    <x v="0"/>
    <x v="23"/>
    <x v="0"/>
    <x v="7"/>
    <x v="1"/>
  </r>
  <r>
    <x v="1339"/>
    <x v="7"/>
    <x v="1"/>
    <n v="62.4"/>
    <n v="124.8"/>
    <x v="50"/>
    <d v="2025-02-21T00:00:00"/>
    <x v="2"/>
    <x v="0"/>
    <x v="1"/>
    <x v="0"/>
    <x v="6"/>
    <x v="3"/>
    <x v="7"/>
    <x v="2"/>
  </r>
  <r>
    <x v="1340"/>
    <x v="6"/>
    <x v="4"/>
    <n v="40.700000000000003"/>
    <n v="488.40000000000003"/>
    <x v="50"/>
    <d v="2025-02-22T00:00:00"/>
    <x v="1"/>
    <x v="1"/>
    <x v="2"/>
    <x v="0"/>
    <x v="6"/>
    <x v="1"/>
    <x v="7"/>
    <x v="1"/>
  </r>
  <r>
    <x v="1341"/>
    <x v="6"/>
    <x v="0"/>
    <n v="49.6"/>
    <n v="49.6"/>
    <x v="50"/>
    <d v="2025-02-23T00:00:00"/>
    <x v="1"/>
    <x v="2"/>
    <x v="0"/>
    <x v="0"/>
    <x v="7"/>
    <x v="2"/>
    <x v="7"/>
    <x v="1"/>
  </r>
  <r>
    <x v="1342"/>
    <x v="7"/>
    <x v="41"/>
    <n v="66.599999999999994"/>
    <n v="2996.9999999999995"/>
    <x v="50"/>
    <d v="2025-02-23T00:00:00"/>
    <x v="1"/>
    <x v="2"/>
    <x v="0"/>
    <x v="0"/>
    <x v="8"/>
    <x v="2"/>
    <x v="7"/>
    <x v="1"/>
  </r>
  <r>
    <x v="1343"/>
    <x v="8"/>
    <x v="2"/>
    <n v="26.4"/>
    <n v="79.199999999999989"/>
    <x v="50"/>
    <d v="2025-02-21T00:00:00"/>
    <x v="2"/>
    <x v="1"/>
    <x v="1"/>
    <x v="0"/>
    <x v="8"/>
    <x v="3"/>
    <x v="7"/>
    <x v="2"/>
  </r>
  <r>
    <x v="1344"/>
    <x v="0"/>
    <x v="1"/>
    <n v="17.2"/>
    <n v="34.4"/>
    <x v="50"/>
    <d v="2025-02-23T00:00:00"/>
    <x v="1"/>
    <x v="2"/>
    <x v="1"/>
    <x v="0"/>
    <x v="8"/>
    <x v="2"/>
    <x v="7"/>
    <x v="1"/>
  </r>
  <r>
    <x v="1345"/>
    <x v="5"/>
    <x v="8"/>
    <n v="58.1"/>
    <n v="464.8"/>
    <x v="50"/>
    <d v="2025-02-23T00:00:00"/>
    <x v="2"/>
    <x v="4"/>
    <x v="0"/>
    <x v="0"/>
    <x v="8"/>
    <x v="2"/>
    <x v="7"/>
    <x v="2"/>
  </r>
  <r>
    <x v="1346"/>
    <x v="15"/>
    <x v="12"/>
    <n v="31.5"/>
    <n v="126"/>
    <x v="50"/>
    <d v="2025-02-23T00:00:00"/>
    <x v="2"/>
    <x v="4"/>
    <x v="4"/>
    <x v="0"/>
    <x v="8"/>
    <x v="2"/>
    <x v="7"/>
    <x v="2"/>
  </r>
  <r>
    <x v="1347"/>
    <x v="0"/>
    <x v="0"/>
    <n v="27.1"/>
    <n v="27.1"/>
    <x v="50"/>
    <d v="2025-02-22T00:00:00"/>
    <x v="2"/>
    <x v="0"/>
    <x v="1"/>
    <x v="0"/>
    <x v="17"/>
    <x v="1"/>
    <x v="7"/>
    <x v="2"/>
  </r>
  <r>
    <x v="1348"/>
    <x v="18"/>
    <x v="12"/>
    <n v="28.5"/>
    <n v="114"/>
    <x v="50"/>
    <d v="2025-02-22T00:00:00"/>
    <x v="1"/>
    <x v="1"/>
    <x v="2"/>
    <x v="0"/>
    <x v="9"/>
    <x v="1"/>
    <x v="7"/>
    <x v="1"/>
  </r>
  <r>
    <x v="1349"/>
    <x v="10"/>
    <x v="0"/>
    <n v="40.5"/>
    <n v="40.5"/>
    <x v="51"/>
    <d v="2025-02-23T00:00:00"/>
    <x v="3"/>
    <x v="2"/>
    <x v="0"/>
    <x v="0"/>
    <x v="9"/>
    <x v="1"/>
    <x v="7"/>
    <x v="3"/>
  </r>
  <r>
    <x v="1350"/>
    <x v="2"/>
    <x v="2"/>
    <n v="77.900000000000006"/>
    <n v="233.70000000000002"/>
    <x v="51"/>
    <d v="2025-02-25T00:00:00"/>
    <x v="2"/>
    <x v="1"/>
    <x v="2"/>
    <x v="0"/>
    <x v="19"/>
    <x v="5"/>
    <x v="7"/>
    <x v="2"/>
  </r>
  <r>
    <x v="1351"/>
    <x v="18"/>
    <x v="12"/>
    <n v="37.1"/>
    <n v="148.4"/>
    <x v="51"/>
    <d v="2025-02-23T00:00:00"/>
    <x v="1"/>
    <x v="4"/>
    <x v="2"/>
    <x v="0"/>
    <x v="19"/>
    <x v="1"/>
    <x v="7"/>
    <x v="1"/>
  </r>
  <r>
    <x v="1352"/>
    <x v="16"/>
    <x v="2"/>
    <n v="51.6"/>
    <n v="154.80000000000001"/>
    <x v="51"/>
    <d v="2025-03-01T00:00:00"/>
    <x v="2"/>
    <x v="0"/>
    <x v="4"/>
    <x v="0"/>
    <x v="19"/>
    <x v="9"/>
    <x v="7"/>
    <x v="2"/>
  </r>
  <r>
    <x v="1353"/>
    <x v="7"/>
    <x v="2"/>
    <n v="98"/>
    <n v="294"/>
    <x v="51"/>
    <d v="2025-02-22T00:00:00"/>
    <x v="1"/>
    <x v="1"/>
    <x v="1"/>
    <x v="0"/>
    <x v="19"/>
    <x v="3"/>
    <x v="7"/>
    <x v="1"/>
  </r>
  <r>
    <x v="1354"/>
    <x v="6"/>
    <x v="3"/>
    <n v="41.4"/>
    <n v="289.8"/>
    <x v="51"/>
    <d v="2025-02-22T00:00:00"/>
    <x v="1"/>
    <x v="1"/>
    <x v="0"/>
    <x v="0"/>
    <x v="20"/>
    <x v="3"/>
    <x v="7"/>
    <x v="1"/>
  </r>
  <r>
    <x v="1355"/>
    <x v="11"/>
    <x v="8"/>
    <n v="34"/>
    <n v="272"/>
    <x v="51"/>
    <d v="2025-02-26T00:00:00"/>
    <x v="2"/>
    <x v="0"/>
    <x v="2"/>
    <x v="0"/>
    <x v="52"/>
    <x v="0"/>
    <x v="7"/>
    <x v="2"/>
  </r>
  <r>
    <x v="1356"/>
    <x v="6"/>
    <x v="0"/>
    <n v="66.3"/>
    <n v="66.3"/>
    <x v="51"/>
    <d v="2025-02-22T00:00:00"/>
    <x v="2"/>
    <x v="1"/>
    <x v="0"/>
    <x v="0"/>
    <x v="13"/>
    <x v="3"/>
    <x v="7"/>
    <x v="2"/>
  </r>
  <r>
    <x v="1357"/>
    <x v="7"/>
    <x v="0"/>
    <n v="33.5"/>
    <n v="33.5"/>
    <x v="51"/>
    <d v="2025-02-25T00:00:00"/>
    <x v="1"/>
    <x v="2"/>
    <x v="0"/>
    <x v="0"/>
    <x v="13"/>
    <x v="5"/>
    <x v="7"/>
    <x v="1"/>
  </r>
  <r>
    <x v="1358"/>
    <x v="12"/>
    <x v="1"/>
    <n v="70.8"/>
    <n v="141.6"/>
    <x v="51"/>
    <d v="2025-02-22T00:00:00"/>
    <x v="0"/>
    <x v="0"/>
    <x v="0"/>
    <x v="0"/>
    <x v="28"/>
    <x v="3"/>
    <x v="7"/>
    <x v="0"/>
  </r>
  <r>
    <x v="1359"/>
    <x v="6"/>
    <x v="1"/>
    <n v="127.6"/>
    <n v="255.2"/>
    <x v="51"/>
    <d v="2025-02-22T00:00:00"/>
    <x v="1"/>
    <x v="0"/>
    <x v="0"/>
    <x v="0"/>
    <x v="21"/>
    <x v="3"/>
    <x v="7"/>
    <x v="1"/>
  </r>
  <r>
    <x v="1360"/>
    <x v="6"/>
    <x v="2"/>
    <n v="95.9"/>
    <n v="287.70000000000005"/>
    <x v="51"/>
    <d v="2025-02-22T00:00:00"/>
    <x v="2"/>
    <x v="1"/>
    <x v="1"/>
    <x v="0"/>
    <x v="21"/>
    <x v="3"/>
    <x v="7"/>
    <x v="2"/>
  </r>
  <r>
    <x v="1361"/>
    <x v="2"/>
    <x v="1"/>
    <n v="78.099999999999994"/>
    <n v="156.19999999999999"/>
    <x v="51"/>
    <d v="2025-02-22T00:00:00"/>
    <x v="1"/>
    <x v="0"/>
    <x v="0"/>
    <x v="0"/>
    <x v="1"/>
    <x v="3"/>
    <x v="7"/>
    <x v="1"/>
  </r>
  <r>
    <x v="1362"/>
    <x v="13"/>
    <x v="1"/>
    <n v="43.2"/>
    <n v="86.4"/>
    <x v="51"/>
    <d v="2025-02-22T00:00:00"/>
    <x v="0"/>
    <x v="1"/>
    <x v="1"/>
    <x v="0"/>
    <x v="1"/>
    <x v="3"/>
    <x v="7"/>
    <x v="0"/>
  </r>
  <r>
    <x v="1363"/>
    <x v="8"/>
    <x v="12"/>
    <n v="28.4"/>
    <n v="113.6"/>
    <x v="51"/>
    <d v="2025-02-27T00:00:00"/>
    <x v="1"/>
    <x v="2"/>
    <x v="0"/>
    <x v="0"/>
    <x v="3"/>
    <x v="4"/>
    <x v="7"/>
    <x v="1"/>
  </r>
  <r>
    <x v="1364"/>
    <x v="2"/>
    <x v="1"/>
    <n v="81.7"/>
    <n v="163.4"/>
    <x v="51"/>
    <d v="2025-02-21T00:00:00"/>
    <x v="1"/>
    <x v="0"/>
    <x v="0"/>
    <x v="0"/>
    <x v="3"/>
    <x v="7"/>
    <x v="7"/>
    <x v="1"/>
  </r>
  <r>
    <x v="1365"/>
    <x v="18"/>
    <x v="1"/>
    <n v="56.7"/>
    <n v="113.4"/>
    <x v="51"/>
    <d v="2025-02-23T00:00:00"/>
    <x v="0"/>
    <x v="0"/>
    <x v="2"/>
    <x v="0"/>
    <x v="3"/>
    <x v="1"/>
    <x v="7"/>
    <x v="0"/>
  </r>
  <r>
    <x v="1366"/>
    <x v="3"/>
    <x v="12"/>
    <n v="66.5"/>
    <n v="266"/>
    <x v="51"/>
    <d v="2025-02-21T00:00:00"/>
    <x v="2"/>
    <x v="0"/>
    <x v="2"/>
    <x v="0"/>
    <x v="3"/>
    <x v="7"/>
    <x v="7"/>
    <x v="2"/>
  </r>
  <r>
    <x v="1367"/>
    <x v="1"/>
    <x v="1"/>
    <n v="105.3"/>
    <n v="210.6"/>
    <x v="51"/>
    <d v="2025-02-25T00:00:00"/>
    <x v="1"/>
    <x v="0"/>
    <x v="1"/>
    <x v="0"/>
    <x v="3"/>
    <x v="5"/>
    <x v="7"/>
    <x v="1"/>
  </r>
  <r>
    <x v="1368"/>
    <x v="10"/>
    <x v="9"/>
    <n v="33.799999999999997"/>
    <n v="169"/>
    <x v="51"/>
    <d v="2025-02-26T00:00:00"/>
    <x v="1"/>
    <x v="0"/>
    <x v="0"/>
    <x v="0"/>
    <x v="3"/>
    <x v="0"/>
    <x v="7"/>
    <x v="1"/>
  </r>
  <r>
    <x v="1369"/>
    <x v="6"/>
    <x v="2"/>
    <n v="63.4"/>
    <n v="190.2"/>
    <x v="51"/>
    <d v="2025-02-26T00:00:00"/>
    <x v="1"/>
    <x v="3"/>
    <x v="1"/>
    <x v="0"/>
    <x v="24"/>
    <x v="0"/>
    <x v="7"/>
    <x v="1"/>
  </r>
  <r>
    <x v="1370"/>
    <x v="6"/>
    <x v="2"/>
    <n v="49"/>
    <n v="147"/>
    <x v="51"/>
    <d v="2025-02-25T00:00:00"/>
    <x v="1"/>
    <x v="3"/>
    <x v="0"/>
    <x v="0"/>
    <x v="49"/>
    <x v="5"/>
    <x v="7"/>
    <x v="1"/>
  </r>
  <r>
    <x v="1371"/>
    <x v="1"/>
    <x v="1"/>
    <n v="40"/>
    <n v="80"/>
    <x v="51"/>
    <d v="2025-02-22T00:00:00"/>
    <x v="2"/>
    <x v="4"/>
    <x v="1"/>
    <x v="0"/>
    <x v="23"/>
    <x v="3"/>
    <x v="7"/>
    <x v="2"/>
  </r>
  <r>
    <x v="1372"/>
    <x v="6"/>
    <x v="12"/>
    <n v="86.3"/>
    <n v="345.2"/>
    <x v="51"/>
    <d v="2025-02-22T00:00:00"/>
    <x v="3"/>
    <x v="0"/>
    <x v="0"/>
    <x v="0"/>
    <x v="6"/>
    <x v="3"/>
    <x v="7"/>
    <x v="3"/>
  </r>
  <r>
    <x v="1373"/>
    <x v="6"/>
    <x v="0"/>
    <n v="51.6"/>
    <n v="51.6"/>
    <x v="51"/>
    <d v="2025-02-23T00:00:00"/>
    <x v="2"/>
    <x v="2"/>
    <x v="2"/>
    <x v="0"/>
    <x v="6"/>
    <x v="1"/>
    <x v="7"/>
    <x v="2"/>
  </r>
  <r>
    <x v="1374"/>
    <x v="10"/>
    <x v="2"/>
    <n v="26.7"/>
    <n v="80.099999999999994"/>
    <x v="51"/>
    <d v="2025-02-26T00:00:00"/>
    <x v="2"/>
    <x v="2"/>
    <x v="1"/>
    <x v="0"/>
    <x v="6"/>
    <x v="0"/>
    <x v="7"/>
    <x v="2"/>
  </r>
  <r>
    <x v="1375"/>
    <x v="18"/>
    <x v="1"/>
    <n v="68.099999999999994"/>
    <n v="136.19999999999999"/>
    <x v="51"/>
    <d v="2025-02-22T00:00:00"/>
    <x v="1"/>
    <x v="0"/>
    <x v="1"/>
    <x v="0"/>
    <x v="6"/>
    <x v="3"/>
    <x v="7"/>
    <x v="1"/>
  </r>
  <r>
    <x v="1376"/>
    <x v="1"/>
    <x v="0"/>
    <n v="81.7"/>
    <n v="81.7"/>
    <x v="51"/>
    <d v="2025-02-22T00:00:00"/>
    <x v="1"/>
    <x v="0"/>
    <x v="0"/>
    <x v="0"/>
    <x v="7"/>
    <x v="3"/>
    <x v="7"/>
    <x v="1"/>
  </r>
  <r>
    <x v="1377"/>
    <x v="18"/>
    <x v="7"/>
    <n v="25.1"/>
    <n v="251"/>
    <x v="51"/>
    <d v="2025-02-24T00:00:00"/>
    <x v="1"/>
    <x v="3"/>
    <x v="1"/>
    <x v="0"/>
    <x v="8"/>
    <x v="2"/>
    <x v="7"/>
    <x v="1"/>
  </r>
  <r>
    <x v="1378"/>
    <x v="8"/>
    <x v="0"/>
    <n v="20.2"/>
    <n v="20.2"/>
    <x v="51"/>
    <d v="2025-02-25T00:00:00"/>
    <x v="2"/>
    <x v="0"/>
    <x v="0"/>
    <x v="0"/>
    <x v="8"/>
    <x v="5"/>
    <x v="7"/>
    <x v="2"/>
  </r>
  <r>
    <x v="1379"/>
    <x v="8"/>
    <x v="2"/>
    <n v="15.4"/>
    <n v="46.2"/>
    <x v="51"/>
    <d v="2025-02-22T00:00:00"/>
    <x v="1"/>
    <x v="1"/>
    <x v="2"/>
    <x v="0"/>
    <x v="8"/>
    <x v="3"/>
    <x v="7"/>
    <x v="1"/>
  </r>
  <r>
    <x v="1380"/>
    <x v="10"/>
    <x v="0"/>
    <n v="59.2"/>
    <n v="59.2"/>
    <x v="51"/>
    <d v="2025-02-22T00:00:00"/>
    <x v="1"/>
    <x v="2"/>
    <x v="2"/>
    <x v="0"/>
    <x v="17"/>
    <x v="3"/>
    <x v="7"/>
    <x v="1"/>
  </r>
  <r>
    <x v="1381"/>
    <x v="0"/>
    <x v="0"/>
    <n v="46.7"/>
    <n v="46.7"/>
    <x v="51"/>
    <d v="2025-02-26T00:00:00"/>
    <x v="1"/>
    <x v="0"/>
    <x v="0"/>
    <x v="0"/>
    <x v="17"/>
    <x v="0"/>
    <x v="7"/>
    <x v="1"/>
  </r>
  <r>
    <x v="1382"/>
    <x v="6"/>
    <x v="20"/>
    <n v="41.6"/>
    <n v="624"/>
    <x v="51"/>
    <d v="2025-02-23T00:00:00"/>
    <x v="1"/>
    <x v="1"/>
    <x v="0"/>
    <x v="0"/>
    <x v="26"/>
    <x v="1"/>
    <x v="7"/>
    <x v="1"/>
  </r>
  <r>
    <x v="1383"/>
    <x v="8"/>
    <x v="1"/>
    <n v="19.2"/>
    <n v="38.4"/>
    <x v="51"/>
    <d v="2025-02-24T00:00:00"/>
    <x v="1"/>
    <x v="4"/>
    <x v="2"/>
    <x v="0"/>
    <x v="9"/>
    <x v="2"/>
    <x v="7"/>
    <x v="1"/>
  </r>
  <r>
    <x v="1384"/>
    <x v="17"/>
    <x v="3"/>
    <n v="41.8"/>
    <n v="292.59999999999997"/>
    <x v="51"/>
    <d v="2025-02-23T00:00:00"/>
    <x v="2"/>
    <x v="2"/>
    <x v="0"/>
    <x v="0"/>
    <x v="11"/>
    <x v="1"/>
    <x v="7"/>
    <x v="2"/>
  </r>
  <r>
    <x v="1385"/>
    <x v="8"/>
    <x v="13"/>
    <n v="37.4"/>
    <n v="224.39999999999998"/>
    <x v="51"/>
    <d v="2025-02-23T00:00:00"/>
    <x v="1"/>
    <x v="0"/>
    <x v="2"/>
    <x v="0"/>
    <x v="11"/>
    <x v="1"/>
    <x v="7"/>
    <x v="1"/>
  </r>
  <r>
    <x v="1386"/>
    <x v="10"/>
    <x v="2"/>
    <n v="60.2"/>
    <n v="180.60000000000002"/>
    <x v="51"/>
    <d v="2025-02-24T00:00:00"/>
    <x v="1"/>
    <x v="4"/>
    <x v="1"/>
    <x v="0"/>
    <x v="38"/>
    <x v="2"/>
    <x v="7"/>
    <x v="1"/>
  </r>
  <r>
    <x v="1387"/>
    <x v="9"/>
    <x v="1"/>
    <n v="91.5"/>
    <n v="183"/>
    <x v="52"/>
    <d v="2025-02-23T00:00:00"/>
    <x v="1"/>
    <x v="0"/>
    <x v="0"/>
    <x v="0"/>
    <x v="13"/>
    <x v="3"/>
    <x v="7"/>
    <x v="1"/>
  </r>
  <r>
    <x v="1388"/>
    <x v="3"/>
    <x v="9"/>
    <n v="55.7"/>
    <n v="278.5"/>
    <x v="52"/>
    <d v="2025-02-24T00:00:00"/>
    <x v="0"/>
    <x v="1"/>
    <x v="2"/>
    <x v="0"/>
    <x v="21"/>
    <x v="1"/>
    <x v="7"/>
    <x v="0"/>
  </r>
  <r>
    <x v="1389"/>
    <x v="7"/>
    <x v="1"/>
    <n v="76.7"/>
    <n v="153.4"/>
    <x v="52"/>
    <d v="2025-02-24T00:00:00"/>
    <x v="1"/>
    <x v="0"/>
    <x v="1"/>
    <x v="0"/>
    <x v="21"/>
    <x v="1"/>
    <x v="7"/>
    <x v="1"/>
  </r>
  <r>
    <x v="1390"/>
    <x v="8"/>
    <x v="38"/>
    <n v="28.2"/>
    <n v="592.19999999999993"/>
    <x v="52"/>
    <d v="2025-02-27T00:00:00"/>
    <x v="1"/>
    <x v="2"/>
    <x v="0"/>
    <x v="0"/>
    <x v="1"/>
    <x v="0"/>
    <x v="7"/>
    <x v="1"/>
  </r>
  <r>
    <x v="1391"/>
    <x v="7"/>
    <x v="9"/>
    <n v="93.2"/>
    <n v="466"/>
    <x v="52"/>
    <d v="2025-02-24T00:00:00"/>
    <x v="2"/>
    <x v="4"/>
    <x v="2"/>
    <x v="0"/>
    <x v="1"/>
    <x v="1"/>
    <x v="7"/>
    <x v="2"/>
  </r>
  <r>
    <x v="1392"/>
    <x v="17"/>
    <x v="0"/>
    <n v="33.299999999999997"/>
    <n v="33.299999999999997"/>
    <x v="52"/>
    <d v="2025-02-23T00:00:00"/>
    <x v="1"/>
    <x v="4"/>
    <x v="0"/>
    <x v="0"/>
    <x v="2"/>
    <x v="3"/>
    <x v="7"/>
    <x v="1"/>
  </r>
  <r>
    <x v="1393"/>
    <x v="10"/>
    <x v="1"/>
    <n v="39.1"/>
    <n v="78.2"/>
    <x v="52"/>
    <d v="2025-02-25T00:00:00"/>
    <x v="1"/>
    <x v="0"/>
    <x v="0"/>
    <x v="0"/>
    <x v="44"/>
    <x v="2"/>
    <x v="7"/>
    <x v="1"/>
  </r>
  <r>
    <x v="1394"/>
    <x v="7"/>
    <x v="4"/>
    <n v="45.3"/>
    <n v="543.59999999999991"/>
    <x v="52"/>
    <d v="2025-02-23T00:00:00"/>
    <x v="1"/>
    <x v="2"/>
    <x v="0"/>
    <x v="0"/>
    <x v="33"/>
    <x v="3"/>
    <x v="7"/>
    <x v="1"/>
  </r>
  <r>
    <x v="1395"/>
    <x v="9"/>
    <x v="3"/>
    <n v="33.9"/>
    <n v="237.29999999999998"/>
    <x v="52"/>
    <d v="2025-02-23T00:00:00"/>
    <x v="1"/>
    <x v="4"/>
    <x v="0"/>
    <x v="0"/>
    <x v="33"/>
    <x v="3"/>
    <x v="7"/>
    <x v="1"/>
  </r>
  <r>
    <x v="1396"/>
    <x v="8"/>
    <x v="2"/>
    <n v="19"/>
    <n v="57"/>
    <x v="52"/>
    <d v="2025-02-23T00:00:00"/>
    <x v="1"/>
    <x v="0"/>
    <x v="2"/>
    <x v="0"/>
    <x v="15"/>
    <x v="3"/>
    <x v="7"/>
    <x v="1"/>
  </r>
  <r>
    <x v="1397"/>
    <x v="4"/>
    <x v="0"/>
    <n v="41.9"/>
    <n v="41.9"/>
    <x v="52"/>
    <d v="2025-02-25T00:00:00"/>
    <x v="2"/>
    <x v="2"/>
    <x v="0"/>
    <x v="0"/>
    <x v="22"/>
    <x v="2"/>
    <x v="7"/>
    <x v="2"/>
  </r>
  <r>
    <x v="1398"/>
    <x v="1"/>
    <x v="12"/>
    <n v="37.5"/>
    <n v="150"/>
    <x v="52"/>
    <d v="2025-02-22T00:00:00"/>
    <x v="2"/>
    <x v="0"/>
    <x v="0"/>
    <x v="0"/>
    <x v="3"/>
    <x v="7"/>
    <x v="7"/>
    <x v="2"/>
  </r>
  <r>
    <x v="1399"/>
    <x v="0"/>
    <x v="1"/>
    <n v="40.799999999999997"/>
    <n v="81.599999999999994"/>
    <x v="52"/>
    <d v="2025-02-25T00:00:00"/>
    <x v="1"/>
    <x v="0"/>
    <x v="0"/>
    <x v="0"/>
    <x v="3"/>
    <x v="2"/>
    <x v="7"/>
    <x v="1"/>
  </r>
  <r>
    <x v="1400"/>
    <x v="0"/>
    <x v="12"/>
    <n v="23.1"/>
    <n v="92.4"/>
    <x v="52"/>
    <d v="2025-02-23T00:00:00"/>
    <x v="2"/>
    <x v="4"/>
    <x v="0"/>
    <x v="0"/>
    <x v="3"/>
    <x v="3"/>
    <x v="7"/>
    <x v="2"/>
  </r>
  <r>
    <x v="1401"/>
    <x v="8"/>
    <x v="9"/>
    <n v="39.299999999999997"/>
    <n v="196.5"/>
    <x v="52"/>
    <d v="2025-02-23T00:00:00"/>
    <x v="2"/>
    <x v="0"/>
    <x v="0"/>
    <x v="0"/>
    <x v="3"/>
    <x v="3"/>
    <x v="7"/>
    <x v="2"/>
  </r>
  <r>
    <x v="1402"/>
    <x v="2"/>
    <x v="12"/>
    <n v="85.2"/>
    <n v="340.8"/>
    <x v="52"/>
    <d v="2025-02-27T00:00:00"/>
    <x v="1"/>
    <x v="2"/>
    <x v="0"/>
    <x v="0"/>
    <x v="3"/>
    <x v="0"/>
    <x v="7"/>
    <x v="1"/>
  </r>
  <r>
    <x v="1403"/>
    <x v="8"/>
    <x v="13"/>
    <n v="16"/>
    <n v="96"/>
    <x v="52"/>
    <d v="2025-02-25T00:00:00"/>
    <x v="1"/>
    <x v="1"/>
    <x v="0"/>
    <x v="0"/>
    <x v="3"/>
    <x v="2"/>
    <x v="7"/>
    <x v="1"/>
  </r>
  <r>
    <x v="1404"/>
    <x v="1"/>
    <x v="1"/>
    <n v="33.799999999999997"/>
    <n v="67.599999999999994"/>
    <x v="52"/>
    <d v="2025-02-26T00:00:00"/>
    <x v="2"/>
    <x v="1"/>
    <x v="0"/>
    <x v="0"/>
    <x v="3"/>
    <x v="5"/>
    <x v="7"/>
    <x v="2"/>
  </r>
  <r>
    <x v="1405"/>
    <x v="3"/>
    <x v="0"/>
    <n v="70"/>
    <n v="70"/>
    <x v="52"/>
    <d v="2025-02-23T00:00:00"/>
    <x v="2"/>
    <x v="0"/>
    <x v="0"/>
    <x v="0"/>
    <x v="3"/>
    <x v="3"/>
    <x v="7"/>
    <x v="2"/>
  </r>
  <r>
    <x v="1406"/>
    <x v="9"/>
    <x v="0"/>
    <n v="88"/>
    <n v="88"/>
    <x v="52"/>
    <d v="2025-02-27T00:00:00"/>
    <x v="2"/>
    <x v="3"/>
    <x v="0"/>
    <x v="0"/>
    <x v="3"/>
    <x v="0"/>
    <x v="7"/>
    <x v="2"/>
  </r>
  <r>
    <x v="1407"/>
    <x v="2"/>
    <x v="2"/>
    <n v="74.099999999999994"/>
    <n v="222.29999999999998"/>
    <x v="52"/>
    <d v="2025-02-22T00:00:00"/>
    <x v="1"/>
    <x v="4"/>
    <x v="1"/>
    <x v="0"/>
    <x v="3"/>
    <x v="7"/>
    <x v="7"/>
    <x v="1"/>
  </r>
  <r>
    <x v="1408"/>
    <x v="2"/>
    <x v="0"/>
    <n v="161.9"/>
    <n v="161.9"/>
    <x v="52"/>
    <d v="2025-02-24T00:00:00"/>
    <x v="1"/>
    <x v="2"/>
    <x v="0"/>
    <x v="0"/>
    <x v="3"/>
    <x v="1"/>
    <x v="7"/>
    <x v="1"/>
  </r>
  <r>
    <x v="1409"/>
    <x v="4"/>
    <x v="1"/>
    <n v="44"/>
    <n v="88"/>
    <x v="52"/>
    <d v="2025-02-23T00:00:00"/>
    <x v="3"/>
    <x v="4"/>
    <x v="1"/>
    <x v="0"/>
    <x v="3"/>
    <x v="3"/>
    <x v="7"/>
    <x v="3"/>
  </r>
  <r>
    <x v="1410"/>
    <x v="11"/>
    <x v="0"/>
    <n v="32.1"/>
    <n v="32.1"/>
    <x v="52"/>
    <d v="2025-02-22T00:00:00"/>
    <x v="2"/>
    <x v="3"/>
    <x v="3"/>
    <x v="0"/>
    <x v="3"/>
    <x v="7"/>
    <x v="7"/>
    <x v="2"/>
  </r>
  <r>
    <x v="1411"/>
    <x v="2"/>
    <x v="12"/>
    <n v="104.8"/>
    <n v="419.2"/>
    <x v="53"/>
    <d v="2025-02-25T00:00:00"/>
    <x v="3"/>
    <x v="0"/>
    <x v="0"/>
    <x v="0"/>
    <x v="3"/>
    <x v="1"/>
    <x v="8"/>
    <x v="3"/>
  </r>
  <r>
    <x v="1412"/>
    <x v="9"/>
    <x v="13"/>
    <n v="67.400000000000006"/>
    <n v="404.40000000000003"/>
    <x v="53"/>
    <d v="2025-02-24T00:00:00"/>
    <x v="2"/>
    <x v="3"/>
    <x v="0"/>
    <x v="0"/>
    <x v="3"/>
    <x v="3"/>
    <x v="8"/>
    <x v="2"/>
  </r>
  <r>
    <x v="1413"/>
    <x v="6"/>
    <x v="1"/>
    <n v="115.2"/>
    <n v="230.4"/>
    <x v="53"/>
    <d v="2025-02-24T00:00:00"/>
    <x v="2"/>
    <x v="1"/>
    <x v="0"/>
    <x v="0"/>
    <x v="4"/>
    <x v="3"/>
    <x v="8"/>
    <x v="2"/>
  </r>
  <r>
    <x v="1414"/>
    <x v="8"/>
    <x v="19"/>
    <n v="15.5"/>
    <n v="449.5"/>
    <x v="53"/>
    <d v="2025-02-25T00:00:00"/>
    <x v="2"/>
    <x v="0"/>
    <x v="1"/>
    <x v="0"/>
    <x v="23"/>
    <x v="1"/>
    <x v="8"/>
    <x v="2"/>
  </r>
  <r>
    <x v="1415"/>
    <x v="6"/>
    <x v="5"/>
    <n v="66.400000000000006"/>
    <n v="730.40000000000009"/>
    <x v="53"/>
    <d v="2025-02-25T00:00:00"/>
    <x v="2"/>
    <x v="0"/>
    <x v="0"/>
    <x v="0"/>
    <x v="6"/>
    <x v="1"/>
    <x v="8"/>
    <x v="2"/>
  </r>
  <r>
    <x v="1416"/>
    <x v="9"/>
    <x v="4"/>
    <n v="68.099999999999994"/>
    <n v="817.19999999999993"/>
    <x v="53"/>
    <d v="2025-02-24T00:00:00"/>
    <x v="2"/>
    <x v="2"/>
    <x v="0"/>
    <x v="0"/>
    <x v="8"/>
    <x v="3"/>
    <x v="8"/>
    <x v="2"/>
  </r>
  <r>
    <x v="1417"/>
    <x v="8"/>
    <x v="9"/>
    <n v="32.5"/>
    <n v="162.5"/>
    <x v="53"/>
    <d v="2025-02-27T00:00:00"/>
    <x v="1"/>
    <x v="2"/>
    <x v="1"/>
    <x v="0"/>
    <x v="8"/>
    <x v="5"/>
    <x v="8"/>
    <x v="1"/>
  </r>
  <r>
    <x v="1418"/>
    <x v="15"/>
    <x v="2"/>
    <n v="61.2"/>
    <n v="183.60000000000002"/>
    <x v="53"/>
    <d v="2025-02-25T00:00:00"/>
    <x v="2"/>
    <x v="1"/>
    <x v="1"/>
    <x v="0"/>
    <x v="8"/>
    <x v="1"/>
    <x v="8"/>
    <x v="2"/>
  </r>
  <r>
    <x v="1419"/>
    <x v="9"/>
    <x v="1"/>
    <n v="54.2"/>
    <n v="108.4"/>
    <x v="53"/>
    <d v="2025-02-24T00:00:00"/>
    <x v="2"/>
    <x v="1"/>
    <x v="0"/>
    <x v="0"/>
    <x v="8"/>
    <x v="3"/>
    <x v="8"/>
    <x v="2"/>
  </r>
  <r>
    <x v="1420"/>
    <x v="11"/>
    <x v="8"/>
    <n v="28.7"/>
    <n v="229.6"/>
    <x v="53"/>
    <d v="2025-02-25T00:00:00"/>
    <x v="1"/>
    <x v="1"/>
    <x v="0"/>
    <x v="0"/>
    <x v="9"/>
    <x v="1"/>
    <x v="8"/>
    <x v="1"/>
  </r>
  <r>
    <x v="1421"/>
    <x v="12"/>
    <x v="13"/>
    <n v="38.200000000000003"/>
    <n v="229.20000000000002"/>
    <x v="53"/>
    <d v="2025-02-27T00:00:00"/>
    <x v="2"/>
    <x v="0"/>
    <x v="1"/>
    <x v="0"/>
    <x v="9"/>
    <x v="5"/>
    <x v="8"/>
    <x v="2"/>
  </r>
  <r>
    <x v="1422"/>
    <x v="8"/>
    <x v="4"/>
    <n v="17.600000000000001"/>
    <n v="211.20000000000002"/>
    <x v="53"/>
    <d v="2025-02-24T00:00:00"/>
    <x v="2"/>
    <x v="2"/>
    <x v="1"/>
    <x v="0"/>
    <x v="9"/>
    <x v="3"/>
    <x v="8"/>
    <x v="2"/>
  </r>
  <r>
    <x v="1423"/>
    <x v="10"/>
    <x v="2"/>
    <n v="74.599999999999994"/>
    <n v="223.79999999999998"/>
    <x v="53"/>
    <d v="2025-02-23T00:00:00"/>
    <x v="2"/>
    <x v="2"/>
    <x v="0"/>
    <x v="0"/>
    <x v="11"/>
    <x v="7"/>
    <x v="8"/>
    <x v="2"/>
  </r>
  <r>
    <x v="1424"/>
    <x v="16"/>
    <x v="20"/>
    <n v="72.599999999999994"/>
    <n v="1089"/>
    <x v="53"/>
    <d v="2025-02-23T00:00:00"/>
    <x v="0"/>
    <x v="1"/>
    <x v="1"/>
    <x v="0"/>
    <x v="11"/>
    <x v="7"/>
    <x v="8"/>
    <x v="0"/>
  </r>
  <r>
    <x v="1425"/>
    <x v="7"/>
    <x v="0"/>
    <n v="62.3"/>
    <n v="62.3"/>
    <x v="53"/>
    <d v="2025-02-24T00:00:00"/>
    <x v="2"/>
    <x v="1"/>
    <x v="0"/>
    <x v="0"/>
    <x v="11"/>
    <x v="3"/>
    <x v="8"/>
    <x v="2"/>
  </r>
  <r>
    <x v="1426"/>
    <x v="3"/>
    <x v="2"/>
    <n v="33.799999999999997"/>
    <n v="101.39999999999999"/>
    <x v="53"/>
    <d v="2025-02-25T00:00:00"/>
    <x v="1"/>
    <x v="0"/>
    <x v="2"/>
    <x v="0"/>
    <x v="20"/>
    <x v="1"/>
    <x v="8"/>
    <x v="1"/>
  </r>
  <r>
    <x v="1427"/>
    <x v="9"/>
    <x v="0"/>
    <n v="85.7"/>
    <n v="85.7"/>
    <x v="53"/>
    <d v="2025-02-26T00:00:00"/>
    <x v="1"/>
    <x v="3"/>
    <x v="1"/>
    <x v="0"/>
    <x v="21"/>
    <x v="2"/>
    <x v="8"/>
    <x v="1"/>
  </r>
  <r>
    <x v="1428"/>
    <x v="6"/>
    <x v="1"/>
    <n v="92.1"/>
    <n v="184.2"/>
    <x v="53"/>
    <d v="2025-02-25T00:00:00"/>
    <x v="1"/>
    <x v="1"/>
    <x v="0"/>
    <x v="0"/>
    <x v="21"/>
    <x v="1"/>
    <x v="8"/>
    <x v="1"/>
  </r>
  <r>
    <x v="1429"/>
    <x v="16"/>
    <x v="2"/>
    <n v="65.099999999999994"/>
    <n v="195.29999999999998"/>
    <x v="53"/>
    <d v="2025-02-26T00:00:00"/>
    <x v="1"/>
    <x v="0"/>
    <x v="0"/>
    <x v="0"/>
    <x v="1"/>
    <x v="2"/>
    <x v="8"/>
    <x v="1"/>
  </r>
  <r>
    <x v="1430"/>
    <x v="9"/>
    <x v="3"/>
    <n v="20.3"/>
    <n v="142.1"/>
    <x v="53"/>
    <d v="2025-02-24T00:00:00"/>
    <x v="2"/>
    <x v="2"/>
    <x v="2"/>
    <x v="0"/>
    <x v="2"/>
    <x v="3"/>
    <x v="8"/>
    <x v="2"/>
  </r>
  <r>
    <x v="1431"/>
    <x v="19"/>
    <x v="1"/>
    <n v="29.8"/>
    <n v="59.6"/>
    <x v="53"/>
    <d v="2025-02-25T00:00:00"/>
    <x v="2"/>
    <x v="1"/>
    <x v="2"/>
    <x v="0"/>
    <x v="34"/>
    <x v="1"/>
    <x v="8"/>
    <x v="2"/>
  </r>
  <r>
    <x v="1432"/>
    <x v="0"/>
    <x v="1"/>
    <n v="24.2"/>
    <n v="48.4"/>
    <x v="53"/>
    <d v="2025-02-25T00:00:00"/>
    <x v="2"/>
    <x v="3"/>
    <x v="2"/>
    <x v="0"/>
    <x v="3"/>
    <x v="1"/>
    <x v="8"/>
    <x v="2"/>
  </r>
  <r>
    <x v="1433"/>
    <x v="3"/>
    <x v="0"/>
    <n v="57.3"/>
    <n v="57.3"/>
    <x v="53"/>
    <d v="2025-02-25T00:00:00"/>
    <x v="1"/>
    <x v="0"/>
    <x v="0"/>
    <x v="0"/>
    <x v="3"/>
    <x v="1"/>
    <x v="8"/>
    <x v="1"/>
  </r>
  <r>
    <x v="1434"/>
    <x v="2"/>
    <x v="0"/>
    <n v="108.9"/>
    <n v="108.9"/>
    <x v="53"/>
    <d v="2025-02-25T00:00:00"/>
    <x v="2"/>
    <x v="1"/>
    <x v="0"/>
    <x v="0"/>
    <x v="3"/>
    <x v="1"/>
    <x v="8"/>
    <x v="2"/>
  </r>
  <r>
    <x v="1435"/>
    <x v="7"/>
    <x v="9"/>
    <n v="50.7"/>
    <n v="253.5"/>
    <x v="53"/>
    <d v="2025-02-24T00:00:00"/>
    <x v="2"/>
    <x v="0"/>
    <x v="0"/>
    <x v="0"/>
    <x v="3"/>
    <x v="3"/>
    <x v="8"/>
    <x v="2"/>
  </r>
  <r>
    <x v="1436"/>
    <x v="7"/>
    <x v="11"/>
    <n v="66.099999999999994"/>
    <n v="594.9"/>
    <x v="53"/>
    <d v="2025-03-09T00:00:00"/>
    <x v="2"/>
    <x v="1"/>
    <x v="0"/>
    <x v="0"/>
    <x v="3"/>
    <x v="12"/>
    <x v="8"/>
    <x v="2"/>
  </r>
  <r>
    <x v="1437"/>
    <x v="12"/>
    <x v="9"/>
    <n v="36.700000000000003"/>
    <n v="183.5"/>
    <x v="53"/>
    <d v="2025-02-27T00:00:00"/>
    <x v="2"/>
    <x v="4"/>
    <x v="0"/>
    <x v="0"/>
    <x v="3"/>
    <x v="5"/>
    <x v="8"/>
    <x v="2"/>
  </r>
  <r>
    <x v="1438"/>
    <x v="8"/>
    <x v="14"/>
    <n v="19.3"/>
    <n v="328.1"/>
    <x v="53"/>
    <d v="2025-02-25T00:00:00"/>
    <x v="1"/>
    <x v="0"/>
    <x v="0"/>
    <x v="0"/>
    <x v="43"/>
    <x v="1"/>
    <x v="8"/>
    <x v="1"/>
  </r>
  <r>
    <x v="1439"/>
    <x v="8"/>
    <x v="12"/>
    <n v="20.7"/>
    <n v="82.8"/>
    <x v="53"/>
    <d v="2025-02-24T00:00:00"/>
    <x v="1"/>
    <x v="1"/>
    <x v="2"/>
    <x v="0"/>
    <x v="6"/>
    <x v="3"/>
    <x v="8"/>
    <x v="1"/>
  </r>
  <r>
    <x v="1440"/>
    <x v="5"/>
    <x v="2"/>
    <n v="54.7"/>
    <n v="164.10000000000002"/>
    <x v="53"/>
    <d v="2025-02-23T00:00:00"/>
    <x v="3"/>
    <x v="1"/>
    <x v="4"/>
    <x v="0"/>
    <x v="6"/>
    <x v="7"/>
    <x v="8"/>
    <x v="3"/>
  </r>
  <r>
    <x v="1441"/>
    <x v="4"/>
    <x v="1"/>
    <n v="19.8"/>
    <n v="39.6"/>
    <x v="53"/>
    <d v="2025-02-27T00:00:00"/>
    <x v="2"/>
    <x v="4"/>
    <x v="1"/>
    <x v="0"/>
    <x v="8"/>
    <x v="5"/>
    <x v="8"/>
    <x v="2"/>
  </r>
  <r>
    <x v="1442"/>
    <x v="7"/>
    <x v="0"/>
    <n v="41.1"/>
    <n v="41.1"/>
    <x v="53"/>
    <d v="2025-02-25T00:00:00"/>
    <x v="2"/>
    <x v="0"/>
    <x v="2"/>
    <x v="0"/>
    <x v="8"/>
    <x v="1"/>
    <x v="8"/>
    <x v="2"/>
  </r>
  <r>
    <x v="1443"/>
    <x v="11"/>
    <x v="8"/>
    <n v="43.5"/>
    <n v="348"/>
    <x v="53"/>
    <d v="2025-02-27T00:00:00"/>
    <x v="2"/>
    <x v="3"/>
    <x v="0"/>
    <x v="0"/>
    <x v="8"/>
    <x v="5"/>
    <x v="8"/>
    <x v="2"/>
  </r>
  <r>
    <x v="1444"/>
    <x v="8"/>
    <x v="21"/>
    <n v="19"/>
    <n v="266"/>
    <x v="53"/>
    <d v="2025-02-24T00:00:00"/>
    <x v="1"/>
    <x v="0"/>
    <x v="0"/>
    <x v="0"/>
    <x v="26"/>
    <x v="3"/>
    <x v="8"/>
    <x v="1"/>
  </r>
  <r>
    <x v="1445"/>
    <x v="2"/>
    <x v="12"/>
    <n v="51.4"/>
    <n v="205.6"/>
    <x v="53"/>
    <d v="2025-02-23T00:00:00"/>
    <x v="2"/>
    <x v="0"/>
    <x v="0"/>
    <x v="0"/>
    <x v="26"/>
    <x v="7"/>
    <x v="8"/>
    <x v="2"/>
  </r>
  <r>
    <x v="1446"/>
    <x v="10"/>
    <x v="1"/>
    <n v="39.799999999999997"/>
    <n v="79.599999999999994"/>
    <x v="53"/>
    <d v="2025-02-26T00:00:00"/>
    <x v="1"/>
    <x v="3"/>
    <x v="1"/>
    <x v="0"/>
    <x v="13"/>
    <x v="2"/>
    <x v="8"/>
    <x v="1"/>
  </r>
  <r>
    <x v="1447"/>
    <x v="6"/>
    <x v="9"/>
    <n v="61"/>
    <n v="305"/>
    <x v="53"/>
    <d v="2025-02-24T00:00:00"/>
    <x v="0"/>
    <x v="0"/>
    <x v="2"/>
    <x v="0"/>
    <x v="21"/>
    <x v="3"/>
    <x v="8"/>
    <x v="0"/>
  </r>
  <r>
    <x v="1448"/>
    <x v="8"/>
    <x v="5"/>
    <n v="15.1"/>
    <n v="166.1"/>
    <x v="54"/>
    <d v="2025-03-01T00:00:00"/>
    <x v="1"/>
    <x v="3"/>
    <x v="2"/>
    <x v="0"/>
    <x v="2"/>
    <x v="0"/>
    <x v="8"/>
    <x v="1"/>
  </r>
  <r>
    <x v="1449"/>
    <x v="1"/>
    <x v="3"/>
    <n v="71.3"/>
    <n v="499.09999999999997"/>
    <x v="54"/>
    <d v="2025-02-25T00:00:00"/>
    <x v="1"/>
    <x v="4"/>
    <x v="0"/>
    <x v="0"/>
    <x v="3"/>
    <x v="3"/>
    <x v="8"/>
    <x v="1"/>
  </r>
  <r>
    <x v="1450"/>
    <x v="10"/>
    <x v="0"/>
    <n v="25.8"/>
    <n v="25.8"/>
    <x v="54"/>
    <d v="2025-02-26T00:00:00"/>
    <x v="2"/>
    <x v="0"/>
    <x v="2"/>
    <x v="0"/>
    <x v="3"/>
    <x v="1"/>
    <x v="8"/>
    <x v="2"/>
  </r>
  <r>
    <x v="1451"/>
    <x v="8"/>
    <x v="9"/>
    <n v="39.6"/>
    <n v="198"/>
    <x v="54"/>
    <d v="2025-02-26T00:00:00"/>
    <x v="1"/>
    <x v="1"/>
    <x v="2"/>
    <x v="0"/>
    <x v="3"/>
    <x v="1"/>
    <x v="8"/>
    <x v="1"/>
  </r>
  <r>
    <x v="1452"/>
    <x v="5"/>
    <x v="1"/>
    <n v="64"/>
    <n v="128"/>
    <x v="54"/>
    <d v="2025-02-24T00:00:00"/>
    <x v="1"/>
    <x v="1"/>
    <x v="1"/>
    <x v="0"/>
    <x v="3"/>
    <x v="7"/>
    <x v="8"/>
    <x v="1"/>
  </r>
  <r>
    <x v="1453"/>
    <x v="8"/>
    <x v="1"/>
    <n v="30.6"/>
    <n v="61.2"/>
    <x v="54"/>
    <d v="2025-02-27T00:00:00"/>
    <x v="1"/>
    <x v="0"/>
    <x v="2"/>
    <x v="0"/>
    <x v="3"/>
    <x v="2"/>
    <x v="8"/>
    <x v="1"/>
  </r>
  <r>
    <x v="1454"/>
    <x v="8"/>
    <x v="1"/>
    <n v="21.3"/>
    <n v="42.6"/>
    <x v="54"/>
    <d v="2025-02-25T00:00:00"/>
    <x v="1"/>
    <x v="0"/>
    <x v="1"/>
    <x v="0"/>
    <x v="3"/>
    <x v="3"/>
    <x v="8"/>
    <x v="1"/>
  </r>
  <r>
    <x v="1455"/>
    <x v="7"/>
    <x v="0"/>
    <n v="40.799999999999997"/>
    <n v="40.799999999999997"/>
    <x v="54"/>
    <d v="2025-02-26T00:00:00"/>
    <x v="2"/>
    <x v="4"/>
    <x v="0"/>
    <x v="0"/>
    <x v="3"/>
    <x v="1"/>
    <x v="8"/>
    <x v="2"/>
  </r>
  <r>
    <x v="1456"/>
    <x v="9"/>
    <x v="12"/>
    <n v="27.7"/>
    <n v="110.8"/>
    <x v="54"/>
    <d v="2025-02-25T00:00:00"/>
    <x v="2"/>
    <x v="0"/>
    <x v="1"/>
    <x v="0"/>
    <x v="3"/>
    <x v="3"/>
    <x v="8"/>
    <x v="2"/>
  </r>
  <r>
    <x v="1457"/>
    <x v="6"/>
    <x v="1"/>
    <n v="64.599999999999994"/>
    <n v="129.19999999999999"/>
    <x v="54"/>
    <d v="2025-02-25T00:00:00"/>
    <x v="1"/>
    <x v="0"/>
    <x v="1"/>
    <x v="0"/>
    <x v="3"/>
    <x v="3"/>
    <x v="8"/>
    <x v="1"/>
  </r>
  <r>
    <x v="1458"/>
    <x v="6"/>
    <x v="27"/>
    <n v="91.1"/>
    <n v="1457.6"/>
    <x v="54"/>
    <d v="2025-02-25T00:00:00"/>
    <x v="2"/>
    <x v="1"/>
    <x v="2"/>
    <x v="0"/>
    <x v="3"/>
    <x v="3"/>
    <x v="8"/>
    <x v="2"/>
  </r>
  <r>
    <x v="1459"/>
    <x v="1"/>
    <x v="0"/>
    <n v="39.5"/>
    <n v="39.5"/>
    <x v="54"/>
    <d v="2025-03-04T00:00:00"/>
    <x v="2"/>
    <x v="0"/>
    <x v="0"/>
    <x v="0"/>
    <x v="3"/>
    <x v="9"/>
    <x v="8"/>
    <x v="2"/>
  </r>
  <r>
    <x v="1460"/>
    <x v="9"/>
    <x v="1"/>
    <n v="21.8"/>
    <n v="43.6"/>
    <x v="54"/>
    <d v="2025-02-28T00:00:00"/>
    <x v="1"/>
    <x v="4"/>
    <x v="2"/>
    <x v="0"/>
    <x v="3"/>
    <x v="5"/>
    <x v="8"/>
    <x v="1"/>
  </r>
  <r>
    <x v="1461"/>
    <x v="8"/>
    <x v="1"/>
    <n v="51"/>
    <n v="102"/>
    <x v="54"/>
    <d v="2025-02-27T00:00:00"/>
    <x v="1"/>
    <x v="3"/>
    <x v="2"/>
    <x v="0"/>
    <x v="3"/>
    <x v="2"/>
    <x v="8"/>
    <x v="1"/>
  </r>
  <r>
    <x v="1462"/>
    <x v="2"/>
    <x v="0"/>
    <n v="92.6"/>
    <n v="92.6"/>
    <x v="54"/>
    <d v="2025-02-27T00:00:00"/>
    <x v="2"/>
    <x v="0"/>
    <x v="2"/>
    <x v="0"/>
    <x v="35"/>
    <x v="2"/>
    <x v="8"/>
    <x v="2"/>
  </r>
  <r>
    <x v="1463"/>
    <x v="9"/>
    <x v="1"/>
    <n v="31.1"/>
    <n v="62.2"/>
    <x v="54"/>
    <d v="2025-03-01T00:00:00"/>
    <x v="0"/>
    <x v="1"/>
    <x v="3"/>
    <x v="0"/>
    <x v="23"/>
    <x v="0"/>
    <x v="8"/>
    <x v="0"/>
  </r>
  <r>
    <x v="1464"/>
    <x v="5"/>
    <x v="2"/>
    <n v="56.4"/>
    <n v="169.2"/>
    <x v="54"/>
    <d v="2025-02-25T00:00:00"/>
    <x v="0"/>
    <x v="1"/>
    <x v="0"/>
    <x v="0"/>
    <x v="6"/>
    <x v="3"/>
    <x v="8"/>
    <x v="0"/>
  </r>
  <r>
    <x v="1465"/>
    <x v="9"/>
    <x v="0"/>
    <n v="41.9"/>
    <n v="41.9"/>
    <x v="54"/>
    <d v="2025-02-24T00:00:00"/>
    <x v="1"/>
    <x v="1"/>
    <x v="0"/>
    <x v="0"/>
    <x v="6"/>
    <x v="7"/>
    <x v="8"/>
    <x v="1"/>
  </r>
  <r>
    <x v="1466"/>
    <x v="10"/>
    <x v="3"/>
    <n v="45.9"/>
    <n v="321.3"/>
    <x v="54"/>
    <d v="2025-02-25T00:00:00"/>
    <x v="1"/>
    <x v="3"/>
    <x v="2"/>
    <x v="0"/>
    <x v="8"/>
    <x v="3"/>
    <x v="8"/>
    <x v="1"/>
  </r>
  <r>
    <x v="1467"/>
    <x v="14"/>
    <x v="11"/>
    <n v="24.4"/>
    <n v="219.6"/>
    <x v="54"/>
    <d v="2025-02-28T00:00:00"/>
    <x v="1"/>
    <x v="3"/>
    <x v="2"/>
    <x v="0"/>
    <x v="8"/>
    <x v="5"/>
    <x v="8"/>
    <x v="1"/>
  </r>
  <r>
    <x v="1468"/>
    <x v="8"/>
    <x v="0"/>
    <n v="18.2"/>
    <n v="18.2"/>
    <x v="54"/>
    <d v="2025-02-25T00:00:00"/>
    <x v="2"/>
    <x v="2"/>
    <x v="2"/>
    <x v="0"/>
    <x v="8"/>
    <x v="3"/>
    <x v="8"/>
    <x v="2"/>
  </r>
  <r>
    <x v="1469"/>
    <x v="8"/>
    <x v="12"/>
    <n v="51.2"/>
    <n v="204.8"/>
    <x v="54"/>
    <d v="2025-02-25T00:00:00"/>
    <x v="2"/>
    <x v="0"/>
    <x v="0"/>
    <x v="0"/>
    <x v="8"/>
    <x v="3"/>
    <x v="8"/>
    <x v="2"/>
  </r>
  <r>
    <x v="1470"/>
    <x v="6"/>
    <x v="0"/>
    <n v="59.7"/>
    <n v="59.7"/>
    <x v="54"/>
    <d v="2025-02-27T00:00:00"/>
    <x v="1"/>
    <x v="0"/>
    <x v="2"/>
    <x v="0"/>
    <x v="8"/>
    <x v="2"/>
    <x v="8"/>
    <x v="1"/>
  </r>
  <r>
    <x v="1471"/>
    <x v="4"/>
    <x v="1"/>
    <n v="33.6"/>
    <n v="67.2"/>
    <x v="54"/>
    <d v="2025-02-26T00:00:00"/>
    <x v="2"/>
    <x v="0"/>
    <x v="0"/>
    <x v="0"/>
    <x v="17"/>
    <x v="1"/>
    <x v="8"/>
    <x v="2"/>
  </r>
  <r>
    <x v="1472"/>
    <x v="12"/>
    <x v="0"/>
    <n v="90.4"/>
    <n v="90.4"/>
    <x v="54"/>
    <d v="2025-02-28T00:00:00"/>
    <x v="1"/>
    <x v="1"/>
    <x v="2"/>
    <x v="0"/>
    <x v="10"/>
    <x v="5"/>
    <x v="8"/>
    <x v="1"/>
  </r>
  <r>
    <x v="1473"/>
    <x v="11"/>
    <x v="2"/>
    <n v="70.3"/>
    <n v="210.89999999999998"/>
    <x v="54"/>
    <d v="2025-02-24T00:00:00"/>
    <x v="1"/>
    <x v="1"/>
    <x v="2"/>
    <x v="0"/>
    <x v="11"/>
    <x v="7"/>
    <x v="8"/>
    <x v="1"/>
  </r>
  <r>
    <x v="1474"/>
    <x v="4"/>
    <x v="1"/>
    <n v="20.5"/>
    <n v="41"/>
    <x v="54"/>
    <d v="2025-02-27T00:00:00"/>
    <x v="2"/>
    <x v="0"/>
    <x v="1"/>
    <x v="0"/>
    <x v="11"/>
    <x v="2"/>
    <x v="8"/>
    <x v="2"/>
  </r>
  <r>
    <x v="1475"/>
    <x v="5"/>
    <x v="5"/>
    <n v="37.6"/>
    <n v="413.6"/>
    <x v="54"/>
    <d v="2025-02-25T00:00:00"/>
    <x v="1"/>
    <x v="0"/>
    <x v="0"/>
    <x v="0"/>
    <x v="38"/>
    <x v="3"/>
    <x v="8"/>
    <x v="1"/>
  </r>
  <r>
    <x v="1476"/>
    <x v="5"/>
    <x v="12"/>
    <n v="61.5"/>
    <n v="246"/>
    <x v="54"/>
    <d v="2025-03-03T00:00:00"/>
    <x v="2"/>
    <x v="1"/>
    <x v="4"/>
    <x v="0"/>
    <x v="13"/>
    <x v="6"/>
    <x v="8"/>
    <x v="2"/>
  </r>
  <r>
    <x v="1477"/>
    <x v="9"/>
    <x v="0"/>
    <n v="33.5"/>
    <n v="33.5"/>
    <x v="55"/>
    <d v="2025-03-01T00:00:00"/>
    <x v="1"/>
    <x v="4"/>
    <x v="1"/>
    <x v="0"/>
    <x v="21"/>
    <x v="5"/>
    <x v="8"/>
    <x v="1"/>
  </r>
  <r>
    <x v="1478"/>
    <x v="4"/>
    <x v="2"/>
    <n v="29.3"/>
    <n v="87.9"/>
    <x v="55"/>
    <d v="2025-02-27T00:00:00"/>
    <x v="2"/>
    <x v="1"/>
    <x v="2"/>
    <x v="0"/>
    <x v="1"/>
    <x v="1"/>
    <x v="8"/>
    <x v="2"/>
  </r>
  <r>
    <x v="1479"/>
    <x v="2"/>
    <x v="1"/>
    <n v="125.9"/>
    <n v="251.8"/>
    <x v="55"/>
    <d v="2025-03-02T00:00:00"/>
    <x v="2"/>
    <x v="4"/>
    <x v="1"/>
    <x v="0"/>
    <x v="1"/>
    <x v="0"/>
    <x v="8"/>
    <x v="2"/>
  </r>
  <r>
    <x v="1480"/>
    <x v="5"/>
    <x v="9"/>
    <n v="29.3"/>
    <n v="146.5"/>
    <x v="55"/>
    <d v="2025-02-25T00:00:00"/>
    <x v="1"/>
    <x v="2"/>
    <x v="0"/>
    <x v="0"/>
    <x v="44"/>
    <x v="7"/>
    <x v="8"/>
    <x v="1"/>
  </r>
  <r>
    <x v="1481"/>
    <x v="9"/>
    <x v="0"/>
    <n v="37.799999999999997"/>
    <n v="37.799999999999997"/>
    <x v="55"/>
    <d v="2025-02-28T00:00:00"/>
    <x v="2"/>
    <x v="0"/>
    <x v="2"/>
    <x v="0"/>
    <x v="3"/>
    <x v="2"/>
    <x v="8"/>
    <x v="2"/>
  </r>
  <r>
    <x v="1482"/>
    <x v="0"/>
    <x v="12"/>
    <n v="31.7"/>
    <n v="126.8"/>
    <x v="55"/>
    <d v="2025-02-26T00:00:00"/>
    <x v="1"/>
    <x v="2"/>
    <x v="2"/>
    <x v="0"/>
    <x v="3"/>
    <x v="3"/>
    <x v="8"/>
    <x v="1"/>
  </r>
  <r>
    <x v="1483"/>
    <x v="8"/>
    <x v="9"/>
    <n v="26.3"/>
    <n v="131.5"/>
    <x v="55"/>
    <d v="2025-02-26T00:00:00"/>
    <x v="2"/>
    <x v="3"/>
    <x v="2"/>
    <x v="0"/>
    <x v="3"/>
    <x v="3"/>
    <x v="8"/>
    <x v="2"/>
  </r>
  <r>
    <x v="1484"/>
    <x v="8"/>
    <x v="2"/>
    <n v="23.1"/>
    <n v="69.300000000000011"/>
    <x v="55"/>
    <d v="2025-02-26T00:00:00"/>
    <x v="3"/>
    <x v="2"/>
    <x v="1"/>
    <x v="0"/>
    <x v="3"/>
    <x v="3"/>
    <x v="8"/>
    <x v="3"/>
  </r>
  <r>
    <x v="1485"/>
    <x v="4"/>
    <x v="0"/>
    <n v="22.3"/>
    <n v="22.3"/>
    <x v="55"/>
    <d v="2025-02-27T00:00:00"/>
    <x v="2"/>
    <x v="2"/>
    <x v="0"/>
    <x v="0"/>
    <x v="3"/>
    <x v="1"/>
    <x v="8"/>
    <x v="2"/>
  </r>
  <r>
    <x v="1486"/>
    <x v="12"/>
    <x v="1"/>
    <n v="99.5"/>
    <n v="199"/>
    <x v="55"/>
    <d v="2025-02-27T00:00:00"/>
    <x v="2"/>
    <x v="2"/>
    <x v="0"/>
    <x v="0"/>
    <x v="3"/>
    <x v="1"/>
    <x v="8"/>
    <x v="2"/>
  </r>
  <r>
    <x v="1487"/>
    <x v="12"/>
    <x v="12"/>
    <n v="47.4"/>
    <n v="189.6"/>
    <x v="55"/>
    <d v="2025-02-28T00:00:00"/>
    <x v="2"/>
    <x v="1"/>
    <x v="0"/>
    <x v="0"/>
    <x v="3"/>
    <x v="2"/>
    <x v="8"/>
    <x v="2"/>
  </r>
  <r>
    <x v="1488"/>
    <x v="0"/>
    <x v="5"/>
    <n v="37.5"/>
    <n v="412.5"/>
    <x v="55"/>
    <d v="2025-02-27T00:00:00"/>
    <x v="2"/>
    <x v="0"/>
    <x v="3"/>
    <x v="0"/>
    <x v="3"/>
    <x v="1"/>
    <x v="8"/>
    <x v="2"/>
  </r>
  <r>
    <x v="1489"/>
    <x v="10"/>
    <x v="0"/>
    <n v="45.1"/>
    <n v="45.1"/>
    <x v="55"/>
    <d v="2025-03-02T00:00:00"/>
    <x v="1"/>
    <x v="3"/>
    <x v="2"/>
    <x v="0"/>
    <x v="24"/>
    <x v="0"/>
    <x v="8"/>
    <x v="1"/>
  </r>
  <r>
    <x v="1490"/>
    <x v="5"/>
    <x v="7"/>
    <n v="34.4"/>
    <n v="344"/>
    <x v="55"/>
    <d v="2025-02-28T00:00:00"/>
    <x v="1"/>
    <x v="2"/>
    <x v="0"/>
    <x v="0"/>
    <x v="16"/>
    <x v="2"/>
    <x v="8"/>
    <x v="1"/>
  </r>
  <r>
    <x v="1491"/>
    <x v="4"/>
    <x v="1"/>
    <n v="38"/>
    <n v="76"/>
    <x v="55"/>
    <d v="2025-02-27T00:00:00"/>
    <x v="2"/>
    <x v="1"/>
    <x v="0"/>
    <x v="0"/>
    <x v="5"/>
    <x v="1"/>
    <x v="8"/>
    <x v="2"/>
  </r>
  <r>
    <x v="1492"/>
    <x v="3"/>
    <x v="21"/>
    <n v="32.4"/>
    <n v="453.59999999999997"/>
    <x v="55"/>
    <d v="2025-02-28T00:00:00"/>
    <x v="1"/>
    <x v="4"/>
    <x v="0"/>
    <x v="0"/>
    <x v="6"/>
    <x v="2"/>
    <x v="8"/>
    <x v="1"/>
  </r>
  <r>
    <x v="1493"/>
    <x v="6"/>
    <x v="2"/>
    <n v="40.9"/>
    <n v="122.69999999999999"/>
    <x v="55"/>
    <d v="2025-02-25T00:00:00"/>
    <x v="0"/>
    <x v="1"/>
    <x v="0"/>
    <x v="0"/>
    <x v="8"/>
    <x v="7"/>
    <x v="8"/>
    <x v="0"/>
  </r>
  <r>
    <x v="1494"/>
    <x v="7"/>
    <x v="3"/>
    <n v="76.2"/>
    <n v="533.4"/>
    <x v="55"/>
    <d v="2025-02-27T00:00:00"/>
    <x v="2"/>
    <x v="2"/>
    <x v="1"/>
    <x v="0"/>
    <x v="8"/>
    <x v="1"/>
    <x v="8"/>
    <x v="2"/>
  </r>
  <r>
    <x v="1495"/>
    <x v="2"/>
    <x v="0"/>
    <n v="85.6"/>
    <n v="85.6"/>
    <x v="55"/>
    <d v="2025-02-27T00:00:00"/>
    <x v="1"/>
    <x v="2"/>
    <x v="0"/>
    <x v="0"/>
    <x v="8"/>
    <x v="1"/>
    <x v="8"/>
    <x v="1"/>
  </r>
  <r>
    <x v="1496"/>
    <x v="4"/>
    <x v="12"/>
    <n v="25"/>
    <n v="100"/>
    <x v="55"/>
    <d v="2025-02-27T00:00:00"/>
    <x v="2"/>
    <x v="2"/>
    <x v="2"/>
    <x v="0"/>
    <x v="8"/>
    <x v="1"/>
    <x v="8"/>
    <x v="2"/>
  </r>
  <r>
    <x v="1497"/>
    <x v="2"/>
    <x v="9"/>
    <n v="150.69999999999999"/>
    <n v="753.5"/>
    <x v="55"/>
    <d v="2025-02-26T00:00:00"/>
    <x v="0"/>
    <x v="0"/>
    <x v="2"/>
    <x v="0"/>
    <x v="8"/>
    <x v="3"/>
    <x v="8"/>
    <x v="0"/>
  </r>
  <r>
    <x v="1498"/>
    <x v="8"/>
    <x v="0"/>
    <n v="19.600000000000001"/>
    <n v="19.600000000000001"/>
    <x v="55"/>
    <d v="2025-02-26T00:00:00"/>
    <x v="1"/>
    <x v="1"/>
    <x v="4"/>
    <x v="0"/>
    <x v="8"/>
    <x v="3"/>
    <x v="8"/>
    <x v="1"/>
  </r>
  <r>
    <x v="1499"/>
    <x v="13"/>
    <x v="1"/>
    <n v="37.5"/>
    <n v="75"/>
    <x v="55"/>
    <d v="2025-02-28T00:00:00"/>
    <x v="2"/>
    <x v="1"/>
    <x v="2"/>
    <x v="0"/>
    <x v="17"/>
    <x v="2"/>
    <x v="8"/>
    <x v="2"/>
  </r>
  <r>
    <x v="1500"/>
    <x v="9"/>
    <x v="2"/>
    <n v="51.9"/>
    <n v="155.69999999999999"/>
    <x v="55"/>
    <d v="2025-03-03T00:00:00"/>
    <x v="2"/>
    <x v="0"/>
    <x v="4"/>
    <x v="0"/>
    <x v="11"/>
    <x v="4"/>
    <x v="8"/>
    <x v="2"/>
  </r>
  <r>
    <x v="1501"/>
    <x v="1"/>
    <x v="1"/>
    <n v="30.9"/>
    <n v="61.8"/>
    <x v="55"/>
    <d v="2025-02-27T00:00:00"/>
    <x v="2"/>
    <x v="1"/>
    <x v="0"/>
    <x v="0"/>
    <x v="18"/>
    <x v="1"/>
    <x v="8"/>
    <x v="2"/>
  </r>
  <r>
    <x v="1502"/>
    <x v="4"/>
    <x v="2"/>
    <n v="21.2"/>
    <n v="63.599999999999994"/>
    <x v="55"/>
    <d v="2025-02-28T00:00:00"/>
    <x v="2"/>
    <x v="1"/>
    <x v="0"/>
    <x v="0"/>
    <x v="19"/>
    <x v="2"/>
    <x v="8"/>
    <x v="2"/>
  </r>
  <r>
    <x v="1503"/>
    <x v="13"/>
    <x v="14"/>
    <n v="17.5"/>
    <n v="297.5"/>
    <x v="55"/>
    <d v="2025-02-26T00:00:00"/>
    <x v="1"/>
    <x v="1"/>
    <x v="1"/>
    <x v="0"/>
    <x v="13"/>
    <x v="3"/>
    <x v="8"/>
    <x v="1"/>
  </r>
  <r>
    <x v="1504"/>
    <x v="12"/>
    <x v="1"/>
    <n v="53.8"/>
    <n v="107.6"/>
    <x v="55"/>
    <d v="2025-03-02T00:00:00"/>
    <x v="2"/>
    <x v="0"/>
    <x v="2"/>
    <x v="0"/>
    <x v="21"/>
    <x v="0"/>
    <x v="8"/>
    <x v="2"/>
  </r>
  <r>
    <x v="1505"/>
    <x v="19"/>
    <x v="1"/>
    <n v="17"/>
    <n v="34"/>
    <x v="55"/>
    <d v="2025-02-26T00:00:00"/>
    <x v="1"/>
    <x v="3"/>
    <x v="0"/>
    <x v="0"/>
    <x v="21"/>
    <x v="3"/>
    <x v="8"/>
    <x v="1"/>
  </r>
  <r>
    <x v="1506"/>
    <x v="6"/>
    <x v="0"/>
    <n v="103.2"/>
    <n v="103.2"/>
    <x v="55"/>
    <d v="2025-03-05T00:00:00"/>
    <x v="1"/>
    <x v="2"/>
    <x v="1"/>
    <x v="0"/>
    <x v="1"/>
    <x v="9"/>
    <x v="8"/>
    <x v="1"/>
  </r>
  <r>
    <x v="1507"/>
    <x v="6"/>
    <x v="12"/>
    <n v="70.3"/>
    <n v="281.2"/>
    <x v="55"/>
    <d v="2025-02-26T00:00:00"/>
    <x v="1"/>
    <x v="0"/>
    <x v="0"/>
    <x v="0"/>
    <x v="3"/>
    <x v="3"/>
    <x v="8"/>
    <x v="1"/>
  </r>
  <r>
    <x v="1508"/>
    <x v="2"/>
    <x v="1"/>
    <n v="73.8"/>
    <n v="147.6"/>
    <x v="55"/>
    <d v="2025-02-25T00:00:00"/>
    <x v="1"/>
    <x v="3"/>
    <x v="2"/>
    <x v="0"/>
    <x v="3"/>
    <x v="7"/>
    <x v="8"/>
    <x v="1"/>
  </r>
  <r>
    <x v="1509"/>
    <x v="1"/>
    <x v="4"/>
    <n v="67.7"/>
    <n v="812.40000000000009"/>
    <x v="55"/>
    <d v="2025-03-01T00:00:00"/>
    <x v="1"/>
    <x v="1"/>
    <x v="1"/>
    <x v="0"/>
    <x v="3"/>
    <x v="5"/>
    <x v="8"/>
    <x v="1"/>
  </r>
  <r>
    <x v="1510"/>
    <x v="13"/>
    <x v="3"/>
    <n v="43.8"/>
    <n v="306.59999999999997"/>
    <x v="55"/>
    <d v="2025-02-27T00:00:00"/>
    <x v="1"/>
    <x v="1"/>
    <x v="0"/>
    <x v="0"/>
    <x v="3"/>
    <x v="1"/>
    <x v="8"/>
    <x v="1"/>
  </r>
  <r>
    <x v="1511"/>
    <x v="17"/>
    <x v="13"/>
    <n v="71.900000000000006"/>
    <n v="431.40000000000003"/>
    <x v="55"/>
    <d v="2025-02-26T00:00:00"/>
    <x v="2"/>
    <x v="2"/>
    <x v="0"/>
    <x v="0"/>
    <x v="3"/>
    <x v="3"/>
    <x v="8"/>
    <x v="2"/>
  </r>
  <r>
    <x v="1512"/>
    <x v="8"/>
    <x v="1"/>
    <n v="26.3"/>
    <n v="52.6"/>
    <x v="56"/>
    <d v="2025-02-28T00:00:00"/>
    <x v="2"/>
    <x v="0"/>
    <x v="1"/>
    <x v="0"/>
    <x v="3"/>
    <x v="1"/>
    <x v="8"/>
    <x v="2"/>
  </r>
  <r>
    <x v="1513"/>
    <x v="6"/>
    <x v="12"/>
    <n v="52.6"/>
    <n v="210.4"/>
    <x v="56"/>
    <d v="2025-02-28T00:00:00"/>
    <x v="2"/>
    <x v="2"/>
    <x v="1"/>
    <x v="0"/>
    <x v="3"/>
    <x v="1"/>
    <x v="8"/>
    <x v="2"/>
  </r>
  <r>
    <x v="1514"/>
    <x v="10"/>
    <x v="0"/>
    <n v="32.700000000000003"/>
    <n v="32.700000000000003"/>
    <x v="56"/>
    <d v="2025-03-05T00:00:00"/>
    <x v="2"/>
    <x v="0"/>
    <x v="2"/>
    <x v="0"/>
    <x v="3"/>
    <x v="6"/>
    <x v="8"/>
    <x v="2"/>
  </r>
  <r>
    <x v="1515"/>
    <x v="5"/>
    <x v="12"/>
    <n v="38.9"/>
    <n v="155.6"/>
    <x v="56"/>
    <d v="2025-02-27T00:00:00"/>
    <x v="2"/>
    <x v="0"/>
    <x v="0"/>
    <x v="0"/>
    <x v="3"/>
    <x v="3"/>
    <x v="8"/>
    <x v="2"/>
  </r>
  <r>
    <x v="1516"/>
    <x v="9"/>
    <x v="9"/>
    <n v="35"/>
    <n v="175"/>
    <x v="56"/>
    <d v="2025-02-28T00:00:00"/>
    <x v="1"/>
    <x v="0"/>
    <x v="0"/>
    <x v="0"/>
    <x v="3"/>
    <x v="1"/>
    <x v="8"/>
    <x v="1"/>
  </r>
  <r>
    <x v="1517"/>
    <x v="2"/>
    <x v="1"/>
    <n v="121"/>
    <n v="242"/>
    <x v="56"/>
    <d v="2025-02-27T00:00:00"/>
    <x v="2"/>
    <x v="1"/>
    <x v="1"/>
    <x v="0"/>
    <x v="3"/>
    <x v="3"/>
    <x v="8"/>
    <x v="2"/>
  </r>
  <r>
    <x v="1518"/>
    <x v="6"/>
    <x v="2"/>
    <n v="65.099999999999994"/>
    <n v="195.29999999999998"/>
    <x v="56"/>
    <d v="2025-03-02T00:00:00"/>
    <x v="1"/>
    <x v="2"/>
    <x v="0"/>
    <x v="0"/>
    <x v="36"/>
    <x v="5"/>
    <x v="8"/>
    <x v="1"/>
  </r>
  <r>
    <x v="1519"/>
    <x v="1"/>
    <x v="38"/>
    <n v="63.8"/>
    <n v="1339.8"/>
    <x v="56"/>
    <d v="2025-02-28T00:00:00"/>
    <x v="2"/>
    <x v="0"/>
    <x v="0"/>
    <x v="0"/>
    <x v="8"/>
    <x v="1"/>
    <x v="8"/>
    <x v="2"/>
  </r>
  <r>
    <x v="1520"/>
    <x v="7"/>
    <x v="0"/>
    <n v="77.7"/>
    <n v="77.7"/>
    <x v="56"/>
    <d v="2025-02-28T00:00:00"/>
    <x v="1"/>
    <x v="0"/>
    <x v="0"/>
    <x v="0"/>
    <x v="8"/>
    <x v="1"/>
    <x v="8"/>
    <x v="1"/>
  </r>
  <r>
    <x v="1521"/>
    <x v="5"/>
    <x v="12"/>
    <n v="60.3"/>
    <n v="241.2"/>
    <x v="56"/>
    <d v="2025-02-26T00:00:00"/>
    <x v="1"/>
    <x v="0"/>
    <x v="2"/>
    <x v="0"/>
    <x v="8"/>
    <x v="7"/>
    <x v="8"/>
    <x v="1"/>
  </r>
  <r>
    <x v="1522"/>
    <x v="5"/>
    <x v="1"/>
    <n v="124.1"/>
    <n v="248.2"/>
    <x v="56"/>
    <d v="2025-03-01T00:00:00"/>
    <x v="2"/>
    <x v="0"/>
    <x v="2"/>
    <x v="0"/>
    <x v="8"/>
    <x v="2"/>
    <x v="8"/>
    <x v="2"/>
  </r>
  <r>
    <x v="1523"/>
    <x v="16"/>
    <x v="3"/>
    <n v="66"/>
    <n v="462"/>
    <x v="56"/>
    <d v="2025-02-26T00:00:00"/>
    <x v="0"/>
    <x v="3"/>
    <x v="0"/>
    <x v="0"/>
    <x v="17"/>
    <x v="7"/>
    <x v="8"/>
    <x v="0"/>
  </r>
  <r>
    <x v="1524"/>
    <x v="2"/>
    <x v="42"/>
    <n v="118.2"/>
    <n v="7446.6"/>
    <x v="56"/>
    <d v="2025-03-03T00:00:00"/>
    <x v="0"/>
    <x v="0"/>
    <x v="0"/>
    <x v="0"/>
    <x v="17"/>
    <x v="0"/>
    <x v="8"/>
    <x v="0"/>
  </r>
  <r>
    <x v="1525"/>
    <x v="5"/>
    <x v="9"/>
    <n v="64.3"/>
    <n v="321.5"/>
    <x v="56"/>
    <d v="2025-02-27T00:00:00"/>
    <x v="1"/>
    <x v="4"/>
    <x v="4"/>
    <x v="0"/>
    <x v="26"/>
    <x v="3"/>
    <x v="8"/>
    <x v="1"/>
  </r>
  <r>
    <x v="1526"/>
    <x v="1"/>
    <x v="1"/>
    <n v="54.8"/>
    <n v="109.6"/>
    <x v="56"/>
    <d v="2025-02-26T00:00:00"/>
    <x v="1"/>
    <x v="0"/>
    <x v="1"/>
    <x v="0"/>
    <x v="26"/>
    <x v="7"/>
    <x v="8"/>
    <x v="1"/>
  </r>
  <r>
    <x v="1527"/>
    <x v="7"/>
    <x v="1"/>
    <n v="78.599999999999994"/>
    <n v="157.19999999999999"/>
    <x v="56"/>
    <d v="2025-02-27T00:00:00"/>
    <x v="1"/>
    <x v="0"/>
    <x v="2"/>
    <x v="0"/>
    <x v="9"/>
    <x v="3"/>
    <x v="8"/>
    <x v="1"/>
  </r>
  <r>
    <x v="1528"/>
    <x v="2"/>
    <x v="9"/>
    <n v="158.5"/>
    <n v="792.5"/>
    <x v="56"/>
    <d v="2025-02-28T00:00:00"/>
    <x v="0"/>
    <x v="2"/>
    <x v="2"/>
    <x v="0"/>
    <x v="9"/>
    <x v="1"/>
    <x v="8"/>
    <x v="0"/>
  </r>
  <r>
    <x v="1529"/>
    <x v="4"/>
    <x v="7"/>
    <n v="23.5"/>
    <n v="235"/>
    <x v="56"/>
    <d v="2025-03-01T00:00:00"/>
    <x v="1"/>
    <x v="0"/>
    <x v="4"/>
    <x v="0"/>
    <x v="10"/>
    <x v="2"/>
    <x v="8"/>
    <x v="1"/>
  </r>
  <r>
    <x v="1530"/>
    <x v="5"/>
    <x v="1"/>
    <n v="32.1"/>
    <n v="64.2"/>
    <x v="56"/>
    <d v="2025-02-28T00:00:00"/>
    <x v="0"/>
    <x v="3"/>
    <x v="0"/>
    <x v="0"/>
    <x v="10"/>
    <x v="1"/>
    <x v="8"/>
    <x v="0"/>
  </r>
  <r>
    <x v="1531"/>
    <x v="17"/>
    <x v="12"/>
    <n v="71.900000000000006"/>
    <n v="287.60000000000002"/>
    <x v="56"/>
    <d v="2025-02-26T00:00:00"/>
    <x v="1"/>
    <x v="2"/>
    <x v="0"/>
    <x v="0"/>
    <x v="19"/>
    <x v="7"/>
    <x v="8"/>
    <x v="1"/>
  </r>
  <r>
    <x v="1532"/>
    <x v="4"/>
    <x v="13"/>
    <n v="22.3"/>
    <n v="133.80000000000001"/>
    <x v="56"/>
    <d v="2025-02-27T00:00:00"/>
    <x v="0"/>
    <x v="3"/>
    <x v="2"/>
    <x v="0"/>
    <x v="13"/>
    <x v="3"/>
    <x v="8"/>
    <x v="0"/>
  </r>
  <r>
    <x v="1533"/>
    <x v="11"/>
    <x v="1"/>
    <n v="29.5"/>
    <n v="59"/>
    <x v="56"/>
    <d v="2025-02-27T00:00:00"/>
    <x v="2"/>
    <x v="0"/>
    <x v="2"/>
    <x v="0"/>
    <x v="13"/>
    <x v="3"/>
    <x v="8"/>
    <x v="2"/>
  </r>
  <r>
    <x v="1534"/>
    <x v="6"/>
    <x v="12"/>
    <n v="41.9"/>
    <n v="167.6"/>
    <x v="56"/>
    <d v="2025-03-02T00:00:00"/>
    <x v="2"/>
    <x v="0"/>
    <x v="1"/>
    <x v="0"/>
    <x v="21"/>
    <x v="5"/>
    <x v="8"/>
    <x v="2"/>
  </r>
  <r>
    <x v="1535"/>
    <x v="6"/>
    <x v="2"/>
    <n v="107.8"/>
    <n v="323.39999999999998"/>
    <x v="56"/>
    <d v="2025-02-27T00:00:00"/>
    <x v="1"/>
    <x v="1"/>
    <x v="2"/>
    <x v="0"/>
    <x v="46"/>
    <x v="3"/>
    <x v="8"/>
    <x v="1"/>
  </r>
  <r>
    <x v="1536"/>
    <x v="4"/>
    <x v="9"/>
    <n v="18.100000000000001"/>
    <n v="90.5"/>
    <x v="56"/>
    <d v="2025-03-01T00:00:00"/>
    <x v="1"/>
    <x v="0"/>
    <x v="2"/>
    <x v="0"/>
    <x v="2"/>
    <x v="2"/>
    <x v="8"/>
    <x v="1"/>
  </r>
  <r>
    <x v="1537"/>
    <x v="12"/>
    <x v="11"/>
    <n v="79.8"/>
    <n v="718.19999999999993"/>
    <x v="56"/>
    <d v="2025-02-27T00:00:00"/>
    <x v="2"/>
    <x v="1"/>
    <x v="1"/>
    <x v="0"/>
    <x v="22"/>
    <x v="3"/>
    <x v="8"/>
    <x v="2"/>
  </r>
  <r>
    <x v="1538"/>
    <x v="0"/>
    <x v="2"/>
    <n v="22.3"/>
    <n v="66.900000000000006"/>
    <x v="56"/>
    <d v="2025-03-01T00:00:00"/>
    <x v="2"/>
    <x v="0"/>
    <x v="2"/>
    <x v="0"/>
    <x v="22"/>
    <x v="2"/>
    <x v="8"/>
    <x v="2"/>
  </r>
  <r>
    <x v="1539"/>
    <x v="8"/>
    <x v="0"/>
    <n v="22.9"/>
    <n v="22.9"/>
    <x v="56"/>
    <d v="2025-02-26T00:00:00"/>
    <x v="2"/>
    <x v="1"/>
    <x v="0"/>
    <x v="0"/>
    <x v="22"/>
    <x v="7"/>
    <x v="8"/>
    <x v="2"/>
  </r>
  <r>
    <x v="1540"/>
    <x v="0"/>
    <x v="2"/>
    <n v="16.2"/>
    <n v="48.599999999999994"/>
    <x v="57"/>
    <d v="2025-02-27T00:00:00"/>
    <x v="1"/>
    <x v="4"/>
    <x v="2"/>
    <x v="0"/>
    <x v="3"/>
    <x v="7"/>
    <x v="8"/>
    <x v="1"/>
  </r>
  <r>
    <x v="1541"/>
    <x v="10"/>
    <x v="12"/>
    <n v="59.5"/>
    <n v="238"/>
    <x v="57"/>
    <d v="2025-02-28T00:00:00"/>
    <x v="1"/>
    <x v="1"/>
    <x v="2"/>
    <x v="0"/>
    <x v="3"/>
    <x v="3"/>
    <x v="8"/>
    <x v="1"/>
  </r>
  <r>
    <x v="1542"/>
    <x v="18"/>
    <x v="9"/>
    <n v="26.2"/>
    <n v="131"/>
    <x v="57"/>
    <d v="2025-03-02T00:00:00"/>
    <x v="1"/>
    <x v="3"/>
    <x v="4"/>
    <x v="0"/>
    <x v="3"/>
    <x v="2"/>
    <x v="8"/>
    <x v="1"/>
  </r>
  <r>
    <x v="1543"/>
    <x v="3"/>
    <x v="0"/>
    <n v="44.2"/>
    <n v="44.2"/>
    <x v="57"/>
    <d v="2025-03-02T00:00:00"/>
    <x v="2"/>
    <x v="1"/>
    <x v="0"/>
    <x v="0"/>
    <x v="3"/>
    <x v="2"/>
    <x v="8"/>
    <x v="2"/>
  </r>
  <r>
    <x v="1544"/>
    <x v="9"/>
    <x v="1"/>
    <n v="59.2"/>
    <n v="118.4"/>
    <x v="57"/>
    <d v="2025-02-27T00:00:00"/>
    <x v="2"/>
    <x v="1"/>
    <x v="4"/>
    <x v="0"/>
    <x v="3"/>
    <x v="7"/>
    <x v="8"/>
    <x v="2"/>
  </r>
  <r>
    <x v="1545"/>
    <x v="15"/>
    <x v="12"/>
    <n v="41.5"/>
    <n v="166"/>
    <x v="57"/>
    <d v="2025-03-01T00:00:00"/>
    <x v="2"/>
    <x v="0"/>
    <x v="0"/>
    <x v="0"/>
    <x v="16"/>
    <x v="1"/>
    <x v="8"/>
    <x v="2"/>
  </r>
  <r>
    <x v="1546"/>
    <x v="6"/>
    <x v="4"/>
    <n v="67.099999999999994"/>
    <n v="805.19999999999993"/>
    <x v="57"/>
    <d v="2025-03-13T00:00:00"/>
    <x v="2"/>
    <x v="0"/>
    <x v="2"/>
    <x v="0"/>
    <x v="23"/>
    <x v="12"/>
    <x v="8"/>
    <x v="2"/>
  </r>
  <r>
    <x v="1547"/>
    <x v="8"/>
    <x v="1"/>
    <n v="28.7"/>
    <n v="57.4"/>
    <x v="57"/>
    <d v="2025-03-03T00:00:00"/>
    <x v="2"/>
    <x v="1"/>
    <x v="0"/>
    <x v="0"/>
    <x v="6"/>
    <x v="5"/>
    <x v="8"/>
    <x v="2"/>
  </r>
  <r>
    <x v="1548"/>
    <x v="2"/>
    <x v="12"/>
    <n v="132.1"/>
    <n v="528.4"/>
    <x v="57"/>
    <d v="2025-02-28T00:00:00"/>
    <x v="2"/>
    <x v="0"/>
    <x v="1"/>
    <x v="0"/>
    <x v="6"/>
    <x v="3"/>
    <x v="8"/>
    <x v="2"/>
  </r>
  <r>
    <x v="1549"/>
    <x v="18"/>
    <x v="1"/>
    <n v="47"/>
    <n v="94"/>
    <x v="57"/>
    <d v="2025-03-01T00:00:00"/>
    <x v="1"/>
    <x v="4"/>
    <x v="0"/>
    <x v="0"/>
    <x v="8"/>
    <x v="1"/>
    <x v="8"/>
    <x v="1"/>
  </r>
  <r>
    <x v="1550"/>
    <x v="8"/>
    <x v="1"/>
    <n v="41.6"/>
    <n v="83.2"/>
    <x v="57"/>
    <d v="2025-03-03T00:00:00"/>
    <x v="1"/>
    <x v="1"/>
    <x v="2"/>
    <x v="0"/>
    <x v="8"/>
    <x v="5"/>
    <x v="8"/>
    <x v="1"/>
  </r>
  <r>
    <x v="1551"/>
    <x v="8"/>
    <x v="43"/>
    <n v="17.3"/>
    <n v="657.4"/>
    <x v="57"/>
    <d v="2025-03-01T00:00:00"/>
    <x v="1"/>
    <x v="2"/>
    <x v="2"/>
    <x v="0"/>
    <x v="8"/>
    <x v="1"/>
    <x v="8"/>
    <x v="1"/>
  </r>
  <r>
    <x v="1552"/>
    <x v="13"/>
    <x v="2"/>
    <n v="41.8"/>
    <n v="125.39999999999999"/>
    <x v="57"/>
    <d v="2025-03-02T00:00:00"/>
    <x v="1"/>
    <x v="0"/>
    <x v="2"/>
    <x v="0"/>
    <x v="8"/>
    <x v="2"/>
    <x v="8"/>
    <x v="1"/>
  </r>
  <r>
    <x v="1553"/>
    <x v="10"/>
    <x v="0"/>
    <n v="24"/>
    <n v="24"/>
    <x v="57"/>
    <d v="2025-02-28T00:00:00"/>
    <x v="2"/>
    <x v="0"/>
    <x v="0"/>
    <x v="0"/>
    <x v="17"/>
    <x v="3"/>
    <x v="8"/>
    <x v="2"/>
  </r>
  <r>
    <x v="1554"/>
    <x v="14"/>
    <x v="11"/>
    <n v="18.5"/>
    <n v="166.5"/>
    <x v="57"/>
    <d v="2025-03-01T00:00:00"/>
    <x v="2"/>
    <x v="0"/>
    <x v="0"/>
    <x v="0"/>
    <x v="9"/>
    <x v="1"/>
    <x v="8"/>
    <x v="2"/>
  </r>
  <r>
    <x v="1555"/>
    <x v="3"/>
    <x v="4"/>
    <n v="66.7"/>
    <n v="800.40000000000009"/>
    <x v="57"/>
    <d v="2025-03-02T00:00:00"/>
    <x v="0"/>
    <x v="0"/>
    <x v="2"/>
    <x v="0"/>
    <x v="11"/>
    <x v="2"/>
    <x v="8"/>
    <x v="0"/>
  </r>
  <r>
    <x v="1556"/>
    <x v="1"/>
    <x v="12"/>
    <n v="33.1"/>
    <n v="132.4"/>
    <x v="57"/>
    <d v="2025-03-04T00:00:00"/>
    <x v="1"/>
    <x v="3"/>
    <x v="0"/>
    <x v="0"/>
    <x v="11"/>
    <x v="0"/>
    <x v="8"/>
    <x v="1"/>
  </r>
  <r>
    <x v="1557"/>
    <x v="19"/>
    <x v="11"/>
    <n v="42.1"/>
    <n v="378.90000000000003"/>
    <x v="57"/>
    <d v="2025-03-10T00:00:00"/>
    <x v="1"/>
    <x v="1"/>
    <x v="0"/>
    <x v="0"/>
    <x v="18"/>
    <x v="11"/>
    <x v="8"/>
    <x v="1"/>
  </r>
  <r>
    <x v="1558"/>
    <x v="18"/>
    <x v="3"/>
    <n v="58.7"/>
    <n v="410.90000000000003"/>
    <x v="57"/>
    <d v="2025-02-27T00:00:00"/>
    <x v="3"/>
    <x v="3"/>
    <x v="0"/>
    <x v="0"/>
    <x v="31"/>
    <x v="7"/>
    <x v="8"/>
    <x v="3"/>
  </r>
  <r>
    <x v="1559"/>
    <x v="6"/>
    <x v="12"/>
    <n v="54"/>
    <n v="216"/>
    <x v="57"/>
    <d v="2025-03-01T00:00:00"/>
    <x v="2"/>
    <x v="1"/>
    <x v="0"/>
    <x v="0"/>
    <x v="1"/>
    <x v="1"/>
    <x v="8"/>
    <x v="2"/>
  </r>
  <r>
    <x v="1560"/>
    <x v="8"/>
    <x v="0"/>
    <n v="52.1"/>
    <n v="52.1"/>
    <x v="57"/>
    <d v="2025-02-28T00:00:00"/>
    <x v="2"/>
    <x v="2"/>
    <x v="2"/>
    <x v="0"/>
    <x v="2"/>
    <x v="3"/>
    <x v="8"/>
    <x v="2"/>
  </r>
  <r>
    <x v="1561"/>
    <x v="19"/>
    <x v="1"/>
    <n v="27"/>
    <n v="54"/>
    <x v="57"/>
    <d v="2025-03-02T00:00:00"/>
    <x v="3"/>
    <x v="2"/>
    <x v="0"/>
    <x v="0"/>
    <x v="22"/>
    <x v="2"/>
    <x v="8"/>
    <x v="3"/>
  </r>
  <r>
    <x v="1562"/>
    <x v="12"/>
    <x v="7"/>
    <n v="31"/>
    <n v="310"/>
    <x v="58"/>
    <d v="2025-03-01T00:00:00"/>
    <x v="2"/>
    <x v="3"/>
    <x v="2"/>
    <x v="0"/>
    <x v="22"/>
    <x v="3"/>
    <x v="8"/>
    <x v="2"/>
  </r>
  <r>
    <x v="1563"/>
    <x v="10"/>
    <x v="1"/>
    <n v="46.7"/>
    <n v="93.4"/>
    <x v="58"/>
    <d v="2025-02-28T00:00:00"/>
    <x v="2"/>
    <x v="0"/>
    <x v="0"/>
    <x v="0"/>
    <x v="34"/>
    <x v="7"/>
    <x v="8"/>
    <x v="2"/>
  </r>
  <r>
    <x v="1564"/>
    <x v="6"/>
    <x v="0"/>
    <n v="144.69999999999999"/>
    <n v="144.69999999999999"/>
    <x v="58"/>
    <d v="2025-03-03T00:00:00"/>
    <x v="1"/>
    <x v="0"/>
    <x v="2"/>
    <x v="0"/>
    <x v="3"/>
    <x v="2"/>
    <x v="8"/>
    <x v="1"/>
  </r>
  <r>
    <x v="1565"/>
    <x v="2"/>
    <x v="11"/>
    <n v="90.9"/>
    <n v="818.1"/>
    <x v="58"/>
    <d v="2025-03-01T00:00:00"/>
    <x v="1"/>
    <x v="0"/>
    <x v="2"/>
    <x v="0"/>
    <x v="3"/>
    <x v="3"/>
    <x v="8"/>
    <x v="1"/>
  </r>
  <r>
    <x v="1566"/>
    <x v="1"/>
    <x v="1"/>
    <n v="75.8"/>
    <n v="151.6"/>
    <x v="58"/>
    <d v="2025-03-01T00:00:00"/>
    <x v="2"/>
    <x v="2"/>
    <x v="1"/>
    <x v="0"/>
    <x v="3"/>
    <x v="3"/>
    <x v="8"/>
    <x v="2"/>
  </r>
  <r>
    <x v="1567"/>
    <x v="7"/>
    <x v="9"/>
    <n v="57.9"/>
    <n v="289.5"/>
    <x v="58"/>
    <d v="2025-03-02T00:00:00"/>
    <x v="1"/>
    <x v="2"/>
    <x v="2"/>
    <x v="0"/>
    <x v="3"/>
    <x v="1"/>
    <x v="8"/>
    <x v="1"/>
  </r>
  <r>
    <x v="1568"/>
    <x v="8"/>
    <x v="9"/>
    <n v="44.8"/>
    <n v="224"/>
    <x v="58"/>
    <d v="2025-03-01T00:00:00"/>
    <x v="2"/>
    <x v="3"/>
    <x v="2"/>
    <x v="0"/>
    <x v="3"/>
    <x v="3"/>
    <x v="8"/>
    <x v="2"/>
  </r>
  <r>
    <x v="1569"/>
    <x v="9"/>
    <x v="2"/>
    <n v="44.2"/>
    <n v="132.60000000000002"/>
    <x v="58"/>
    <d v="2025-03-04T00:00:00"/>
    <x v="1"/>
    <x v="2"/>
    <x v="2"/>
    <x v="0"/>
    <x v="3"/>
    <x v="5"/>
    <x v="8"/>
    <x v="1"/>
  </r>
  <r>
    <x v="1570"/>
    <x v="5"/>
    <x v="9"/>
    <n v="53.5"/>
    <n v="267.5"/>
    <x v="58"/>
    <d v="2025-03-02T00:00:00"/>
    <x v="1"/>
    <x v="0"/>
    <x v="0"/>
    <x v="0"/>
    <x v="37"/>
    <x v="1"/>
    <x v="8"/>
    <x v="1"/>
  </r>
  <r>
    <x v="1571"/>
    <x v="6"/>
    <x v="1"/>
    <n v="72.2"/>
    <n v="144.4"/>
    <x v="58"/>
    <d v="2025-03-01T00:00:00"/>
    <x v="1"/>
    <x v="0"/>
    <x v="2"/>
    <x v="0"/>
    <x v="25"/>
    <x v="3"/>
    <x v="8"/>
    <x v="1"/>
  </r>
  <r>
    <x v="1572"/>
    <x v="6"/>
    <x v="12"/>
    <n v="62.4"/>
    <n v="249.6"/>
    <x v="58"/>
    <d v="2025-03-03T00:00:00"/>
    <x v="2"/>
    <x v="0"/>
    <x v="1"/>
    <x v="0"/>
    <x v="23"/>
    <x v="2"/>
    <x v="8"/>
    <x v="2"/>
  </r>
  <r>
    <x v="1573"/>
    <x v="10"/>
    <x v="9"/>
    <n v="24.7"/>
    <n v="123.5"/>
    <x v="58"/>
    <d v="2025-03-01T00:00:00"/>
    <x v="2"/>
    <x v="0"/>
    <x v="0"/>
    <x v="0"/>
    <x v="6"/>
    <x v="3"/>
    <x v="8"/>
    <x v="2"/>
  </r>
  <r>
    <x v="1574"/>
    <x v="1"/>
    <x v="9"/>
    <n v="61.7"/>
    <n v="308.5"/>
    <x v="58"/>
    <d v="2025-03-02T00:00:00"/>
    <x v="2"/>
    <x v="2"/>
    <x v="0"/>
    <x v="0"/>
    <x v="8"/>
    <x v="1"/>
    <x v="8"/>
    <x v="2"/>
  </r>
  <r>
    <x v="1575"/>
    <x v="8"/>
    <x v="9"/>
    <n v="18.2"/>
    <n v="91"/>
    <x v="58"/>
    <d v="2025-03-02T00:00:00"/>
    <x v="2"/>
    <x v="3"/>
    <x v="0"/>
    <x v="0"/>
    <x v="8"/>
    <x v="1"/>
    <x v="8"/>
    <x v="2"/>
  </r>
  <r>
    <x v="1576"/>
    <x v="10"/>
    <x v="12"/>
    <n v="37.200000000000003"/>
    <n v="148.80000000000001"/>
    <x v="58"/>
    <d v="2025-03-06T00:00:00"/>
    <x v="2"/>
    <x v="0"/>
    <x v="0"/>
    <x v="0"/>
    <x v="8"/>
    <x v="4"/>
    <x v="8"/>
    <x v="2"/>
  </r>
  <r>
    <x v="1577"/>
    <x v="9"/>
    <x v="2"/>
    <n v="53.5"/>
    <n v="160.5"/>
    <x v="58"/>
    <d v="2025-03-02T00:00:00"/>
    <x v="2"/>
    <x v="1"/>
    <x v="2"/>
    <x v="0"/>
    <x v="9"/>
    <x v="1"/>
    <x v="8"/>
    <x v="2"/>
  </r>
  <r>
    <x v="1578"/>
    <x v="8"/>
    <x v="2"/>
    <n v="43.6"/>
    <n v="130.80000000000001"/>
    <x v="58"/>
    <d v="2025-02-28T00:00:00"/>
    <x v="2"/>
    <x v="0"/>
    <x v="0"/>
    <x v="0"/>
    <x v="9"/>
    <x v="7"/>
    <x v="8"/>
    <x v="2"/>
  </r>
  <r>
    <x v="1579"/>
    <x v="1"/>
    <x v="7"/>
    <n v="135"/>
    <n v="1350"/>
    <x v="58"/>
    <d v="2025-03-02T00:00:00"/>
    <x v="2"/>
    <x v="0"/>
    <x v="2"/>
    <x v="0"/>
    <x v="9"/>
    <x v="1"/>
    <x v="8"/>
    <x v="2"/>
  </r>
  <r>
    <x v="1580"/>
    <x v="8"/>
    <x v="9"/>
    <n v="38.5"/>
    <n v="192.5"/>
    <x v="58"/>
    <d v="2025-02-28T00:00:00"/>
    <x v="1"/>
    <x v="4"/>
    <x v="2"/>
    <x v="0"/>
    <x v="10"/>
    <x v="7"/>
    <x v="8"/>
    <x v="1"/>
  </r>
  <r>
    <x v="1581"/>
    <x v="9"/>
    <x v="1"/>
    <n v="24"/>
    <n v="48"/>
    <x v="58"/>
    <d v="2025-03-05T00:00:00"/>
    <x v="2"/>
    <x v="0"/>
    <x v="0"/>
    <x v="0"/>
    <x v="11"/>
    <x v="0"/>
    <x v="8"/>
    <x v="2"/>
  </r>
  <r>
    <x v="1582"/>
    <x v="4"/>
    <x v="2"/>
    <n v="28.2"/>
    <n v="84.6"/>
    <x v="58"/>
    <d v="2025-03-02T00:00:00"/>
    <x v="1"/>
    <x v="0"/>
    <x v="3"/>
    <x v="0"/>
    <x v="18"/>
    <x v="1"/>
    <x v="8"/>
    <x v="1"/>
  </r>
  <r>
    <x v="1583"/>
    <x v="7"/>
    <x v="2"/>
    <n v="37.4"/>
    <n v="112.19999999999999"/>
    <x v="58"/>
    <d v="2025-03-01T00:00:00"/>
    <x v="2"/>
    <x v="3"/>
    <x v="0"/>
    <x v="0"/>
    <x v="1"/>
    <x v="3"/>
    <x v="8"/>
    <x v="2"/>
  </r>
  <r>
    <x v="1584"/>
    <x v="6"/>
    <x v="2"/>
    <n v="53.5"/>
    <n v="160.5"/>
    <x v="58"/>
    <d v="2025-03-03T00:00:00"/>
    <x v="0"/>
    <x v="4"/>
    <x v="4"/>
    <x v="0"/>
    <x v="1"/>
    <x v="2"/>
    <x v="8"/>
    <x v="0"/>
  </r>
  <r>
    <x v="1585"/>
    <x v="11"/>
    <x v="9"/>
    <n v="36.200000000000003"/>
    <n v="181"/>
    <x v="58"/>
    <d v="2025-03-01T00:00:00"/>
    <x v="1"/>
    <x v="1"/>
    <x v="2"/>
    <x v="0"/>
    <x v="33"/>
    <x v="3"/>
    <x v="8"/>
    <x v="1"/>
  </r>
  <r>
    <x v="1586"/>
    <x v="0"/>
    <x v="8"/>
    <n v="31.9"/>
    <n v="255.2"/>
    <x v="58"/>
    <d v="2025-03-01T00:00:00"/>
    <x v="2"/>
    <x v="4"/>
    <x v="0"/>
    <x v="0"/>
    <x v="3"/>
    <x v="3"/>
    <x v="8"/>
    <x v="2"/>
  </r>
  <r>
    <x v="1587"/>
    <x v="8"/>
    <x v="2"/>
    <n v="21.3"/>
    <n v="63.900000000000006"/>
    <x v="58"/>
    <d v="2025-03-01T00:00:00"/>
    <x v="1"/>
    <x v="0"/>
    <x v="2"/>
    <x v="0"/>
    <x v="3"/>
    <x v="3"/>
    <x v="8"/>
    <x v="1"/>
  </r>
  <r>
    <x v="1588"/>
    <x v="8"/>
    <x v="0"/>
    <n v="36.299999999999997"/>
    <n v="36.299999999999997"/>
    <x v="58"/>
    <d v="2025-03-02T00:00:00"/>
    <x v="3"/>
    <x v="4"/>
    <x v="0"/>
    <x v="0"/>
    <x v="3"/>
    <x v="1"/>
    <x v="8"/>
    <x v="3"/>
  </r>
  <r>
    <x v="1589"/>
    <x v="6"/>
    <x v="2"/>
    <n v="110.5"/>
    <n v="331.5"/>
    <x v="58"/>
    <d v="2025-03-01T00:00:00"/>
    <x v="2"/>
    <x v="0"/>
    <x v="3"/>
    <x v="0"/>
    <x v="3"/>
    <x v="3"/>
    <x v="8"/>
    <x v="2"/>
  </r>
  <r>
    <x v="1590"/>
    <x v="10"/>
    <x v="3"/>
    <n v="32.6"/>
    <n v="228.20000000000002"/>
    <x v="58"/>
    <d v="2025-03-02T00:00:00"/>
    <x v="2"/>
    <x v="0"/>
    <x v="1"/>
    <x v="0"/>
    <x v="3"/>
    <x v="1"/>
    <x v="8"/>
    <x v="2"/>
  </r>
  <r>
    <x v="1591"/>
    <x v="5"/>
    <x v="2"/>
    <n v="55.6"/>
    <n v="166.8"/>
    <x v="59"/>
    <d v="2025-03-14T00:00:00"/>
    <x v="2"/>
    <x v="0"/>
    <x v="0"/>
    <x v="0"/>
    <x v="3"/>
    <x v="10"/>
    <x v="8"/>
    <x v="2"/>
  </r>
  <r>
    <x v="1592"/>
    <x v="1"/>
    <x v="12"/>
    <n v="38"/>
    <n v="152"/>
    <x v="59"/>
    <d v="2025-03-02T00:00:00"/>
    <x v="2"/>
    <x v="3"/>
    <x v="2"/>
    <x v="0"/>
    <x v="5"/>
    <x v="3"/>
    <x v="8"/>
    <x v="2"/>
  </r>
  <r>
    <x v="1593"/>
    <x v="10"/>
    <x v="1"/>
    <n v="51.8"/>
    <n v="103.6"/>
    <x v="59"/>
    <d v="2025-03-07T00:00:00"/>
    <x v="1"/>
    <x v="1"/>
    <x v="4"/>
    <x v="0"/>
    <x v="6"/>
    <x v="4"/>
    <x v="8"/>
    <x v="1"/>
  </r>
  <r>
    <x v="1594"/>
    <x v="11"/>
    <x v="8"/>
    <n v="28.7"/>
    <n v="229.6"/>
    <x v="59"/>
    <d v="2025-03-06T00:00:00"/>
    <x v="2"/>
    <x v="0"/>
    <x v="0"/>
    <x v="0"/>
    <x v="6"/>
    <x v="0"/>
    <x v="8"/>
    <x v="2"/>
  </r>
  <r>
    <x v="1595"/>
    <x v="6"/>
    <x v="4"/>
    <n v="52.2"/>
    <n v="626.40000000000009"/>
    <x v="59"/>
    <d v="2025-03-01T00:00:00"/>
    <x v="1"/>
    <x v="0"/>
    <x v="1"/>
    <x v="0"/>
    <x v="6"/>
    <x v="7"/>
    <x v="8"/>
    <x v="1"/>
  </r>
  <r>
    <x v="1596"/>
    <x v="1"/>
    <x v="1"/>
    <n v="68.2"/>
    <n v="136.4"/>
    <x v="59"/>
    <d v="2025-03-02T00:00:00"/>
    <x v="0"/>
    <x v="2"/>
    <x v="0"/>
    <x v="0"/>
    <x v="7"/>
    <x v="3"/>
    <x v="8"/>
    <x v="0"/>
  </r>
  <r>
    <x v="1597"/>
    <x v="0"/>
    <x v="2"/>
    <n v="34"/>
    <n v="102"/>
    <x v="59"/>
    <d v="2025-03-05T00:00:00"/>
    <x v="2"/>
    <x v="0"/>
    <x v="0"/>
    <x v="0"/>
    <x v="8"/>
    <x v="5"/>
    <x v="8"/>
    <x v="2"/>
  </r>
  <r>
    <x v="1598"/>
    <x v="8"/>
    <x v="2"/>
    <n v="19.100000000000001"/>
    <n v="57.300000000000004"/>
    <x v="59"/>
    <d v="2025-03-02T00:00:00"/>
    <x v="2"/>
    <x v="4"/>
    <x v="0"/>
    <x v="0"/>
    <x v="8"/>
    <x v="3"/>
    <x v="8"/>
    <x v="2"/>
  </r>
  <r>
    <x v="1599"/>
    <x v="5"/>
    <x v="8"/>
    <n v="34"/>
    <n v="272"/>
    <x v="59"/>
    <d v="2025-03-09T00:00:00"/>
    <x v="2"/>
    <x v="4"/>
    <x v="0"/>
    <x v="0"/>
    <x v="8"/>
    <x v="9"/>
    <x v="8"/>
    <x v="2"/>
  </r>
  <r>
    <x v="1600"/>
    <x v="12"/>
    <x v="1"/>
    <n v="109.1"/>
    <n v="218.2"/>
    <x v="59"/>
    <d v="2025-03-03T00:00:00"/>
    <x v="1"/>
    <x v="0"/>
    <x v="2"/>
    <x v="0"/>
    <x v="8"/>
    <x v="1"/>
    <x v="8"/>
    <x v="1"/>
  </r>
  <r>
    <x v="1601"/>
    <x v="18"/>
    <x v="1"/>
    <n v="64.8"/>
    <n v="129.6"/>
    <x v="59"/>
    <d v="2025-03-03T00:00:00"/>
    <x v="1"/>
    <x v="0"/>
    <x v="2"/>
    <x v="0"/>
    <x v="8"/>
    <x v="1"/>
    <x v="8"/>
    <x v="1"/>
  </r>
  <r>
    <x v="1602"/>
    <x v="10"/>
    <x v="1"/>
    <n v="21.1"/>
    <n v="42.2"/>
    <x v="59"/>
    <d v="2025-03-01T00:00:00"/>
    <x v="2"/>
    <x v="1"/>
    <x v="0"/>
    <x v="0"/>
    <x v="11"/>
    <x v="7"/>
    <x v="8"/>
    <x v="2"/>
  </r>
  <r>
    <x v="1603"/>
    <x v="0"/>
    <x v="8"/>
    <n v="21.3"/>
    <n v="170.4"/>
    <x v="59"/>
    <d v="2025-03-03T00:00:00"/>
    <x v="1"/>
    <x v="3"/>
    <x v="1"/>
    <x v="0"/>
    <x v="18"/>
    <x v="1"/>
    <x v="8"/>
    <x v="1"/>
  </r>
  <r>
    <x v="1604"/>
    <x v="9"/>
    <x v="2"/>
    <n v="24.3"/>
    <n v="72.900000000000006"/>
    <x v="59"/>
    <d v="2025-03-02T00:00:00"/>
    <x v="1"/>
    <x v="1"/>
    <x v="0"/>
    <x v="0"/>
    <x v="19"/>
    <x v="3"/>
    <x v="8"/>
    <x v="1"/>
  </r>
  <r>
    <x v="1605"/>
    <x v="8"/>
    <x v="0"/>
    <n v="43.3"/>
    <n v="43.3"/>
    <x v="59"/>
    <d v="2025-03-05T00:00:00"/>
    <x v="1"/>
    <x v="1"/>
    <x v="1"/>
    <x v="0"/>
    <x v="13"/>
    <x v="5"/>
    <x v="8"/>
    <x v="1"/>
  </r>
  <r>
    <x v="1606"/>
    <x v="9"/>
    <x v="2"/>
    <n v="41"/>
    <n v="123"/>
    <x v="59"/>
    <d v="2025-03-02T00:00:00"/>
    <x v="2"/>
    <x v="3"/>
    <x v="4"/>
    <x v="0"/>
    <x v="21"/>
    <x v="3"/>
    <x v="8"/>
    <x v="2"/>
  </r>
  <r>
    <x v="1607"/>
    <x v="16"/>
    <x v="2"/>
    <n v="54.1"/>
    <n v="162.30000000000001"/>
    <x v="59"/>
    <d v="2025-03-03T00:00:00"/>
    <x v="2"/>
    <x v="4"/>
    <x v="0"/>
    <x v="0"/>
    <x v="21"/>
    <x v="1"/>
    <x v="8"/>
    <x v="2"/>
  </r>
  <r>
    <x v="1608"/>
    <x v="11"/>
    <x v="1"/>
    <n v="39"/>
    <n v="78"/>
    <x v="59"/>
    <d v="2025-03-02T00:00:00"/>
    <x v="1"/>
    <x v="1"/>
    <x v="2"/>
    <x v="0"/>
    <x v="1"/>
    <x v="3"/>
    <x v="8"/>
    <x v="1"/>
  </r>
  <r>
    <x v="1609"/>
    <x v="8"/>
    <x v="1"/>
    <n v="40.299999999999997"/>
    <n v="80.599999999999994"/>
    <x v="59"/>
    <d v="2025-03-03T00:00:00"/>
    <x v="1"/>
    <x v="3"/>
    <x v="0"/>
    <x v="0"/>
    <x v="27"/>
    <x v="1"/>
    <x v="8"/>
    <x v="1"/>
  </r>
  <r>
    <x v="1610"/>
    <x v="8"/>
    <x v="2"/>
    <n v="24.1"/>
    <n v="72.300000000000011"/>
    <x v="59"/>
    <d v="2025-03-02T00:00:00"/>
    <x v="1"/>
    <x v="0"/>
    <x v="2"/>
    <x v="0"/>
    <x v="34"/>
    <x v="3"/>
    <x v="8"/>
    <x v="1"/>
  </r>
  <r>
    <x v="1611"/>
    <x v="6"/>
    <x v="9"/>
    <n v="52.3"/>
    <n v="261.5"/>
    <x v="59"/>
    <d v="2025-03-02T00:00:00"/>
    <x v="1"/>
    <x v="2"/>
    <x v="0"/>
    <x v="0"/>
    <x v="3"/>
    <x v="3"/>
    <x v="8"/>
    <x v="1"/>
  </r>
  <r>
    <x v="1612"/>
    <x v="12"/>
    <x v="12"/>
    <n v="68.8"/>
    <n v="275.2"/>
    <x v="59"/>
    <d v="2025-03-05T00:00:00"/>
    <x v="2"/>
    <x v="4"/>
    <x v="2"/>
    <x v="0"/>
    <x v="3"/>
    <x v="5"/>
    <x v="8"/>
    <x v="2"/>
  </r>
  <r>
    <x v="1613"/>
    <x v="2"/>
    <x v="1"/>
    <n v="128.80000000000001"/>
    <n v="257.60000000000002"/>
    <x v="60"/>
    <d v="2025-03-05T00:00:00"/>
    <x v="2"/>
    <x v="1"/>
    <x v="1"/>
    <x v="0"/>
    <x v="3"/>
    <x v="2"/>
    <x v="9"/>
    <x v="2"/>
  </r>
  <r>
    <x v="1614"/>
    <x v="15"/>
    <x v="9"/>
    <n v="48.2"/>
    <n v="241"/>
    <x v="60"/>
    <d v="2025-03-04T00:00:00"/>
    <x v="2"/>
    <x v="3"/>
    <x v="0"/>
    <x v="0"/>
    <x v="3"/>
    <x v="1"/>
    <x v="9"/>
    <x v="2"/>
  </r>
  <r>
    <x v="1615"/>
    <x v="10"/>
    <x v="0"/>
    <n v="39.700000000000003"/>
    <n v="39.700000000000003"/>
    <x v="60"/>
    <d v="2025-03-04T00:00:00"/>
    <x v="2"/>
    <x v="0"/>
    <x v="1"/>
    <x v="0"/>
    <x v="3"/>
    <x v="1"/>
    <x v="9"/>
    <x v="2"/>
  </r>
  <r>
    <x v="1616"/>
    <x v="9"/>
    <x v="0"/>
    <n v="59.7"/>
    <n v="59.7"/>
    <x v="60"/>
    <d v="2025-03-05T00:00:00"/>
    <x v="2"/>
    <x v="4"/>
    <x v="0"/>
    <x v="0"/>
    <x v="3"/>
    <x v="2"/>
    <x v="9"/>
    <x v="2"/>
  </r>
  <r>
    <x v="1617"/>
    <x v="6"/>
    <x v="0"/>
    <n v="48.3"/>
    <n v="48.3"/>
    <x v="60"/>
    <d v="2025-03-16T00:00:00"/>
    <x v="3"/>
    <x v="0"/>
    <x v="2"/>
    <x v="0"/>
    <x v="3"/>
    <x v="12"/>
    <x v="9"/>
    <x v="3"/>
  </r>
  <r>
    <x v="1618"/>
    <x v="8"/>
    <x v="2"/>
    <n v="45.5"/>
    <n v="136.5"/>
    <x v="60"/>
    <d v="2025-03-04T00:00:00"/>
    <x v="1"/>
    <x v="2"/>
    <x v="1"/>
    <x v="0"/>
    <x v="3"/>
    <x v="1"/>
    <x v="9"/>
    <x v="1"/>
  </r>
  <r>
    <x v="1619"/>
    <x v="9"/>
    <x v="6"/>
    <n v="51"/>
    <n v="1377"/>
    <x v="60"/>
    <d v="2025-03-02T00:00:00"/>
    <x v="2"/>
    <x v="2"/>
    <x v="0"/>
    <x v="0"/>
    <x v="3"/>
    <x v="7"/>
    <x v="9"/>
    <x v="2"/>
  </r>
  <r>
    <x v="1620"/>
    <x v="4"/>
    <x v="13"/>
    <n v="20.399999999999999"/>
    <n v="122.39999999999999"/>
    <x v="60"/>
    <d v="2025-03-03T00:00:00"/>
    <x v="1"/>
    <x v="2"/>
    <x v="0"/>
    <x v="0"/>
    <x v="3"/>
    <x v="3"/>
    <x v="9"/>
    <x v="1"/>
  </r>
  <r>
    <x v="1621"/>
    <x v="10"/>
    <x v="1"/>
    <n v="30.4"/>
    <n v="60.8"/>
    <x v="60"/>
    <d v="2025-03-04T00:00:00"/>
    <x v="1"/>
    <x v="2"/>
    <x v="0"/>
    <x v="0"/>
    <x v="3"/>
    <x v="1"/>
    <x v="9"/>
    <x v="1"/>
  </r>
  <r>
    <x v="1622"/>
    <x v="7"/>
    <x v="1"/>
    <n v="71.5"/>
    <n v="143"/>
    <x v="60"/>
    <d v="2025-03-06T00:00:00"/>
    <x v="2"/>
    <x v="0"/>
    <x v="0"/>
    <x v="0"/>
    <x v="3"/>
    <x v="5"/>
    <x v="9"/>
    <x v="2"/>
  </r>
  <r>
    <x v="1623"/>
    <x v="8"/>
    <x v="13"/>
    <n v="18"/>
    <n v="108"/>
    <x v="60"/>
    <d v="2025-03-03T00:00:00"/>
    <x v="3"/>
    <x v="1"/>
    <x v="2"/>
    <x v="0"/>
    <x v="6"/>
    <x v="3"/>
    <x v="9"/>
    <x v="3"/>
  </r>
  <r>
    <x v="1624"/>
    <x v="15"/>
    <x v="5"/>
    <n v="45.6"/>
    <n v="501.6"/>
    <x v="60"/>
    <d v="2025-03-03T00:00:00"/>
    <x v="3"/>
    <x v="1"/>
    <x v="1"/>
    <x v="0"/>
    <x v="7"/>
    <x v="3"/>
    <x v="9"/>
    <x v="3"/>
  </r>
  <r>
    <x v="1625"/>
    <x v="9"/>
    <x v="0"/>
    <n v="31.8"/>
    <n v="31.8"/>
    <x v="60"/>
    <d v="2025-03-06T00:00:00"/>
    <x v="2"/>
    <x v="0"/>
    <x v="2"/>
    <x v="0"/>
    <x v="7"/>
    <x v="5"/>
    <x v="9"/>
    <x v="2"/>
  </r>
  <r>
    <x v="1626"/>
    <x v="8"/>
    <x v="9"/>
    <n v="19.899999999999999"/>
    <n v="99.5"/>
    <x v="60"/>
    <d v="2025-03-03T00:00:00"/>
    <x v="2"/>
    <x v="1"/>
    <x v="0"/>
    <x v="0"/>
    <x v="7"/>
    <x v="3"/>
    <x v="9"/>
    <x v="2"/>
  </r>
  <r>
    <x v="1627"/>
    <x v="12"/>
    <x v="11"/>
    <n v="52.1"/>
    <n v="468.90000000000003"/>
    <x v="60"/>
    <d v="2025-03-04T00:00:00"/>
    <x v="1"/>
    <x v="0"/>
    <x v="0"/>
    <x v="0"/>
    <x v="8"/>
    <x v="1"/>
    <x v="9"/>
    <x v="1"/>
  </r>
  <r>
    <x v="1628"/>
    <x v="1"/>
    <x v="3"/>
    <n v="45.9"/>
    <n v="321.3"/>
    <x v="60"/>
    <d v="2025-03-03T00:00:00"/>
    <x v="1"/>
    <x v="0"/>
    <x v="1"/>
    <x v="0"/>
    <x v="8"/>
    <x v="3"/>
    <x v="9"/>
    <x v="1"/>
  </r>
  <r>
    <x v="1629"/>
    <x v="1"/>
    <x v="7"/>
    <n v="115.9"/>
    <n v="1159"/>
    <x v="60"/>
    <d v="2025-03-05T00:00:00"/>
    <x v="2"/>
    <x v="1"/>
    <x v="0"/>
    <x v="0"/>
    <x v="8"/>
    <x v="2"/>
    <x v="9"/>
    <x v="2"/>
  </r>
  <r>
    <x v="1630"/>
    <x v="6"/>
    <x v="11"/>
    <n v="86"/>
    <n v="774"/>
    <x v="60"/>
    <d v="2025-03-07T00:00:00"/>
    <x v="2"/>
    <x v="0"/>
    <x v="1"/>
    <x v="0"/>
    <x v="8"/>
    <x v="0"/>
    <x v="9"/>
    <x v="2"/>
  </r>
  <r>
    <x v="1631"/>
    <x v="7"/>
    <x v="3"/>
    <n v="73.599999999999994"/>
    <n v="515.19999999999993"/>
    <x v="60"/>
    <d v="2025-03-04T00:00:00"/>
    <x v="2"/>
    <x v="0"/>
    <x v="0"/>
    <x v="0"/>
    <x v="17"/>
    <x v="1"/>
    <x v="9"/>
    <x v="2"/>
  </r>
  <r>
    <x v="1632"/>
    <x v="10"/>
    <x v="2"/>
    <n v="26.7"/>
    <n v="80.099999999999994"/>
    <x v="60"/>
    <d v="2025-03-06T00:00:00"/>
    <x v="2"/>
    <x v="0"/>
    <x v="0"/>
    <x v="0"/>
    <x v="11"/>
    <x v="5"/>
    <x v="9"/>
    <x v="2"/>
  </r>
  <r>
    <x v="1633"/>
    <x v="8"/>
    <x v="3"/>
    <n v="46.6"/>
    <n v="326.2"/>
    <x v="60"/>
    <d v="2025-03-04T00:00:00"/>
    <x v="0"/>
    <x v="3"/>
    <x v="0"/>
    <x v="0"/>
    <x v="11"/>
    <x v="1"/>
    <x v="9"/>
    <x v="0"/>
  </r>
  <r>
    <x v="1634"/>
    <x v="3"/>
    <x v="2"/>
    <n v="84.6"/>
    <n v="253.79999999999998"/>
    <x v="60"/>
    <d v="2025-03-04T00:00:00"/>
    <x v="1"/>
    <x v="4"/>
    <x v="0"/>
    <x v="0"/>
    <x v="11"/>
    <x v="1"/>
    <x v="9"/>
    <x v="1"/>
  </r>
  <r>
    <x v="1635"/>
    <x v="7"/>
    <x v="21"/>
    <n v="41.5"/>
    <n v="581"/>
    <x v="60"/>
    <d v="2025-03-16T00:00:00"/>
    <x v="1"/>
    <x v="1"/>
    <x v="0"/>
    <x v="0"/>
    <x v="53"/>
    <x v="12"/>
    <x v="9"/>
    <x v="1"/>
  </r>
  <r>
    <x v="1636"/>
    <x v="8"/>
    <x v="0"/>
    <n v="32.799999999999997"/>
    <n v="32.799999999999997"/>
    <x v="60"/>
    <d v="2025-03-05T00:00:00"/>
    <x v="1"/>
    <x v="0"/>
    <x v="2"/>
    <x v="0"/>
    <x v="30"/>
    <x v="2"/>
    <x v="9"/>
    <x v="1"/>
  </r>
  <r>
    <x v="1637"/>
    <x v="4"/>
    <x v="3"/>
    <n v="46.7"/>
    <n v="326.90000000000003"/>
    <x v="60"/>
    <d v="2025-03-04T00:00:00"/>
    <x v="3"/>
    <x v="0"/>
    <x v="2"/>
    <x v="0"/>
    <x v="18"/>
    <x v="1"/>
    <x v="9"/>
    <x v="3"/>
  </r>
  <r>
    <x v="1638"/>
    <x v="15"/>
    <x v="3"/>
    <n v="21"/>
    <n v="147"/>
    <x v="60"/>
    <d v="2025-03-05T00:00:00"/>
    <x v="1"/>
    <x v="2"/>
    <x v="1"/>
    <x v="0"/>
    <x v="21"/>
    <x v="2"/>
    <x v="9"/>
    <x v="1"/>
  </r>
  <r>
    <x v="1639"/>
    <x v="5"/>
    <x v="3"/>
    <n v="29.4"/>
    <n v="205.79999999999998"/>
    <x v="60"/>
    <d v="2025-03-02T00:00:00"/>
    <x v="1"/>
    <x v="3"/>
    <x v="2"/>
    <x v="0"/>
    <x v="21"/>
    <x v="7"/>
    <x v="9"/>
    <x v="1"/>
  </r>
  <r>
    <x v="1640"/>
    <x v="15"/>
    <x v="1"/>
    <n v="32.299999999999997"/>
    <n v="64.599999999999994"/>
    <x v="60"/>
    <d v="2025-03-03T00:00:00"/>
    <x v="1"/>
    <x v="0"/>
    <x v="2"/>
    <x v="0"/>
    <x v="21"/>
    <x v="3"/>
    <x v="9"/>
    <x v="1"/>
  </r>
  <r>
    <x v="1641"/>
    <x v="6"/>
    <x v="0"/>
    <n v="42.2"/>
    <n v="42.2"/>
    <x v="61"/>
    <d v="2025-03-05T00:00:00"/>
    <x v="2"/>
    <x v="0"/>
    <x v="2"/>
    <x v="0"/>
    <x v="21"/>
    <x v="1"/>
    <x v="9"/>
    <x v="2"/>
  </r>
  <r>
    <x v="1642"/>
    <x v="6"/>
    <x v="0"/>
    <n v="53.7"/>
    <n v="53.7"/>
    <x v="61"/>
    <d v="2025-03-05T00:00:00"/>
    <x v="1"/>
    <x v="1"/>
    <x v="1"/>
    <x v="0"/>
    <x v="1"/>
    <x v="1"/>
    <x v="9"/>
    <x v="1"/>
  </r>
  <r>
    <x v="1643"/>
    <x v="2"/>
    <x v="1"/>
    <n v="123.9"/>
    <n v="247.8"/>
    <x v="61"/>
    <d v="2025-03-06T00:00:00"/>
    <x v="1"/>
    <x v="2"/>
    <x v="0"/>
    <x v="0"/>
    <x v="1"/>
    <x v="2"/>
    <x v="9"/>
    <x v="1"/>
  </r>
  <r>
    <x v="1644"/>
    <x v="4"/>
    <x v="2"/>
    <n v="35.9"/>
    <n v="107.69999999999999"/>
    <x v="61"/>
    <d v="2025-03-05T00:00:00"/>
    <x v="1"/>
    <x v="2"/>
    <x v="0"/>
    <x v="0"/>
    <x v="22"/>
    <x v="1"/>
    <x v="9"/>
    <x v="1"/>
  </r>
  <r>
    <x v="1645"/>
    <x v="4"/>
    <x v="1"/>
    <n v="23.6"/>
    <n v="47.2"/>
    <x v="61"/>
    <d v="2025-03-06T00:00:00"/>
    <x v="1"/>
    <x v="0"/>
    <x v="2"/>
    <x v="0"/>
    <x v="3"/>
    <x v="2"/>
    <x v="9"/>
    <x v="1"/>
  </r>
  <r>
    <x v="1646"/>
    <x v="15"/>
    <x v="36"/>
    <n v="45.7"/>
    <n v="1599.5"/>
    <x v="61"/>
    <d v="2025-03-04T00:00:00"/>
    <x v="1"/>
    <x v="0"/>
    <x v="1"/>
    <x v="0"/>
    <x v="3"/>
    <x v="3"/>
    <x v="9"/>
    <x v="1"/>
  </r>
  <r>
    <x v="1647"/>
    <x v="6"/>
    <x v="5"/>
    <n v="118.3"/>
    <n v="1301.3"/>
    <x v="61"/>
    <d v="2025-03-05T00:00:00"/>
    <x v="1"/>
    <x v="4"/>
    <x v="2"/>
    <x v="0"/>
    <x v="3"/>
    <x v="1"/>
    <x v="9"/>
    <x v="1"/>
  </r>
  <r>
    <x v="1648"/>
    <x v="19"/>
    <x v="0"/>
    <n v="36"/>
    <n v="36"/>
    <x v="61"/>
    <d v="2025-03-04T00:00:00"/>
    <x v="2"/>
    <x v="0"/>
    <x v="1"/>
    <x v="0"/>
    <x v="3"/>
    <x v="3"/>
    <x v="9"/>
    <x v="2"/>
  </r>
  <r>
    <x v="1649"/>
    <x v="8"/>
    <x v="1"/>
    <n v="37.1"/>
    <n v="74.2"/>
    <x v="61"/>
    <d v="2025-03-06T00:00:00"/>
    <x v="2"/>
    <x v="2"/>
    <x v="0"/>
    <x v="0"/>
    <x v="3"/>
    <x v="2"/>
    <x v="9"/>
    <x v="2"/>
  </r>
  <r>
    <x v="1650"/>
    <x v="18"/>
    <x v="2"/>
    <n v="45.1"/>
    <n v="135.30000000000001"/>
    <x v="61"/>
    <d v="2025-03-05T00:00:00"/>
    <x v="2"/>
    <x v="1"/>
    <x v="2"/>
    <x v="0"/>
    <x v="3"/>
    <x v="1"/>
    <x v="9"/>
    <x v="2"/>
  </r>
  <r>
    <x v="1651"/>
    <x v="5"/>
    <x v="27"/>
    <n v="37.9"/>
    <n v="606.4"/>
    <x v="61"/>
    <d v="2025-03-04T00:00:00"/>
    <x v="2"/>
    <x v="3"/>
    <x v="2"/>
    <x v="0"/>
    <x v="3"/>
    <x v="3"/>
    <x v="9"/>
    <x v="2"/>
  </r>
  <r>
    <x v="1652"/>
    <x v="2"/>
    <x v="1"/>
    <n v="121.6"/>
    <n v="243.2"/>
    <x v="61"/>
    <d v="2025-03-06T00:00:00"/>
    <x v="1"/>
    <x v="3"/>
    <x v="2"/>
    <x v="0"/>
    <x v="3"/>
    <x v="2"/>
    <x v="9"/>
    <x v="1"/>
  </r>
  <r>
    <x v="1653"/>
    <x v="5"/>
    <x v="3"/>
    <n v="38.200000000000003"/>
    <n v="267.40000000000003"/>
    <x v="61"/>
    <d v="2025-03-06T00:00:00"/>
    <x v="2"/>
    <x v="0"/>
    <x v="0"/>
    <x v="0"/>
    <x v="3"/>
    <x v="2"/>
    <x v="9"/>
    <x v="2"/>
  </r>
  <r>
    <x v="1654"/>
    <x v="17"/>
    <x v="1"/>
    <n v="37.200000000000003"/>
    <n v="74.400000000000006"/>
    <x v="61"/>
    <d v="2025-03-06T00:00:00"/>
    <x v="1"/>
    <x v="4"/>
    <x v="0"/>
    <x v="0"/>
    <x v="3"/>
    <x v="2"/>
    <x v="9"/>
    <x v="1"/>
  </r>
  <r>
    <x v="1655"/>
    <x v="2"/>
    <x v="12"/>
    <n v="115.7"/>
    <n v="462.8"/>
    <x v="61"/>
    <d v="2025-03-06T00:00:00"/>
    <x v="2"/>
    <x v="1"/>
    <x v="0"/>
    <x v="0"/>
    <x v="3"/>
    <x v="2"/>
    <x v="9"/>
    <x v="2"/>
  </r>
  <r>
    <x v="1656"/>
    <x v="2"/>
    <x v="13"/>
    <n v="99.4"/>
    <n v="596.40000000000009"/>
    <x v="61"/>
    <d v="2025-03-06T00:00:00"/>
    <x v="1"/>
    <x v="0"/>
    <x v="2"/>
    <x v="0"/>
    <x v="3"/>
    <x v="2"/>
    <x v="9"/>
    <x v="1"/>
  </r>
  <r>
    <x v="1657"/>
    <x v="11"/>
    <x v="0"/>
    <n v="38.700000000000003"/>
    <n v="38.700000000000003"/>
    <x v="61"/>
    <d v="2025-03-04T00:00:00"/>
    <x v="2"/>
    <x v="2"/>
    <x v="0"/>
    <x v="0"/>
    <x v="25"/>
    <x v="3"/>
    <x v="9"/>
    <x v="2"/>
  </r>
  <r>
    <x v="1658"/>
    <x v="4"/>
    <x v="1"/>
    <n v="35.5"/>
    <n v="71"/>
    <x v="61"/>
    <d v="2025-03-06T00:00:00"/>
    <x v="1"/>
    <x v="0"/>
    <x v="2"/>
    <x v="0"/>
    <x v="25"/>
    <x v="2"/>
    <x v="9"/>
    <x v="1"/>
  </r>
  <r>
    <x v="1659"/>
    <x v="2"/>
    <x v="12"/>
    <n v="93.3"/>
    <n v="373.2"/>
    <x v="61"/>
    <d v="2025-03-06T00:00:00"/>
    <x v="2"/>
    <x v="0"/>
    <x v="2"/>
    <x v="0"/>
    <x v="6"/>
    <x v="2"/>
    <x v="9"/>
    <x v="2"/>
  </r>
  <r>
    <x v="1660"/>
    <x v="16"/>
    <x v="0"/>
    <n v="31.4"/>
    <n v="31.4"/>
    <x v="61"/>
    <d v="2025-03-08T00:00:00"/>
    <x v="2"/>
    <x v="2"/>
    <x v="2"/>
    <x v="0"/>
    <x v="6"/>
    <x v="0"/>
    <x v="9"/>
    <x v="2"/>
  </r>
  <r>
    <x v="1661"/>
    <x v="1"/>
    <x v="0"/>
    <n v="85.9"/>
    <n v="85.9"/>
    <x v="61"/>
    <d v="2025-03-06T00:00:00"/>
    <x v="1"/>
    <x v="1"/>
    <x v="0"/>
    <x v="0"/>
    <x v="6"/>
    <x v="2"/>
    <x v="9"/>
    <x v="1"/>
  </r>
  <r>
    <x v="1662"/>
    <x v="6"/>
    <x v="8"/>
    <n v="41.7"/>
    <n v="333.6"/>
    <x v="61"/>
    <d v="2025-03-11T00:00:00"/>
    <x v="1"/>
    <x v="0"/>
    <x v="2"/>
    <x v="0"/>
    <x v="7"/>
    <x v="9"/>
    <x v="9"/>
    <x v="1"/>
  </r>
  <r>
    <x v="1663"/>
    <x v="8"/>
    <x v="12"/>
    <n v="31.5"/>
    <n v="126"/>
    <x v="61"/>
    <d v="2025-03-04T00:00:00"/>
    <x v="2"/>
    <x v="0"/>
    <x v="0"/>
    <x v="0"/>
    <x v="7"/>
    <x v="3"/>
    <x v="9"/>
    <x v="2"/>
  </r>
  <r>
    <x v="1664"/>
    <x v="8"/>
    <x v="1"/>
    <n v="36.299999999999997"/>
    <n v="72.599999999999994"/>
    <x v="61"/>
    <d v="2025-03-04T00:00:00"/>
    <x v="2"/>
    <x v="0"/>
    <x v="4"/>
    <x v="0"/>
    <x v="8"/>
    <x v="3"/>
    <x v="9"/>
    <x v="2"/>
  </r>
  <r>
    <x v="1665"/>
    <x v="8"/>
    <x v="2"/>
    <n v="33.4"/>
    <n v="100.19999999999999"/>
    <x v="61"/>
    <d v="2025-03-04T00:00:00"/>
    <x v="2"/>
    <x v="3"/>
    <x v="0"/>
    <x v="0"/>
    <x v="17"/>
    <x v="3"/>
    <x v="9"/>
    <x v="2"/>
  </r>
  <r>
    <x v="1666"/>
    <x v="2"/>
    <x v="2"/>
    <n v="65.2"/>
    <n v="195.60000000000002"/>
    <x v="61"/>
    <d v="2025-03-04T00:00:00"/>
    <x v="2"/>
    <x v="2"/>
    <x v="2"/>
    <x v="0"/>
    <x v="26"/>
    <x v="3"/>
    <x v="9"/>
    <x v="2"/>
  </r>
  <r>
    <x v="1667"/>
    <x v="8"/>
    <x v="11"/>
    <n v="65.5"/>
    <n v="589.5"/>
    <x v="61"/>
    <d v="2025-03-06T00:00:00"/>
    <x v="2"/>
    <x v="0"/>
    <x v="2"/>
    <x v="0"/>
    <x v="9"/>
    <x v="2"/>
    <x v="9"/>
    <x v="2"/>
  </r>
  <r>
    <x v="1668"/>
    <x v="6"/>
    <x v="2"/>
    <n v="52.8"/>
    <n v="158.39999999999998"/>
    <x v="61"/>
    <d v="2025-03-06T00:00:00"/>
    <x v="1"/>
    <x v="2"/>
    <x v="0"/>
    <x v="0"/>
    <x v="9"/>
    <x v="2"/>
    <x v="9"/>
    <x v="1"/>
  </r>
  <r>
    <x v="1669"/>
    <x v="9"/>
    <x v="9"/>
    <n v="24"/>
    <n v="120"/>
    <x v="61"/>
    <d v="2025-03-07T00:00:00"/>
    <x v="1"/>
    <x v="0"/>
    <x v="1"/>
    <x v="0"/>
    <x v="11"/>
    <x v="5"/>
    <x v="9"/>
    <x v="1"/>
  </r>
  <r>
    <x v="1670"/>
    <x v="3"/>
    <x v="2"/>
    <n v="51.2"/>
    <n v="153.60000000000002"/>
    <x v="61"/>
    <d v="2025-03-04T00:00:00"/>
    <x v="2"/>
    <x v="0"/>
    <x v="0"/>
    <x v="0"/>
    <x v="32"/>
    <x v="3"/>
    <x v="9"/>
    <x v="2"/>
  </r>
  <r>
    <x v="1671"/>
    <x v="5"/>
    <x v="2"/>
    <n v="28.3"/>
    <n v="84.9"/>
    <x v="61"/>
    <d v="2025-03-05T00:00:00"/>
    <x v="1"/>
    <x v="4"/>
    <x v="0"/>
    <x v="0"/>
    <x v="19"/>
    <x v="1"/>
    <x v="9"/>
    <x v="1"/>
  </r>
  <r>
    <x v="1672"/>
    <x v="6"/>
    <x v="2"/>
    <n v="42.3"/>
    <n v="126.89999999999999"/>
    <x v="61"/>
    <d v="2025-03-03T00:00:00"/>
    <x v="2"/>
    <x v="2"/>
    <x v="1"/>
    <x v="0"/>
    <x v="19"/>
    <x v="7"/>
    <x v="9"/>
    <x v="2"/>
  </r>
  <r>
    <x v="1673"/>
    <x v="2"/>
    <x v="8"/>
    <n v="163.30000000000001"/>
    <n v="1306.4000000000001"/>
    <x v="62"/>
    <d v="2025-03-05T00:00:00"/>
    <x v="2"/>
    <x v="1"/>
    <x v="0"/>
    <x v="0"/>
    <x v="13"/>
    <x v="3"/>
    <x v="9"/>
    <x v="2"/>
  </r>
  <r>
    <x v="1674"/>
    <x v="6"/>
    <x v="3"/>
    <n v="47.3"/>
    <n v="331.09999999999997"/>
    <x v="62"/>
    <d v="2025-03-07T00:00:00"/>
    <x v="2"/>
    <x v="4"/>
    <x v="1"/>
    <x v="0"/>
    <x v="21"/>
    <x v="2"/>
    <x v="9"/>
    <x v="2"/>
  </r>
  <r>
    <x v="1675"/>
    <x v="8"/>
    <x v="27"/>
    <n v="27.3"/>
    <n v="436.8"/>
    <x v="62"/>
    <d v="2025-03-05T00:00:00"/>
    <x v="2"/>
    <x v="2"/>
    <x v="0"/>
    <x v="0"/>
    <x v="21"/>
    <x v="3"/>
    <x v="9"/>
    <x v="2"/>
  </r>
  <r>
    <x v="1676"/>
    <x v="10"/>
    <x v="13"/>
    <n v="34.9"/>
    <n v="209.39999999999998"/>
    <x v="62"/>
    <d v="2025-03-15T00:00:00"/>
    <x v="2"/>
    <x v="0"/>
    <x v="0"/>
    <x v="0"/>
    <x v="21"/>
    <x v="11"/>
    <x v="9"/>
    <x v="2"/>
  </r>
  <r>
    <x v="1677"/>
    <x v="6"/>
    <x v="1"/>
    <n v="53.9"/>
    <n v="107.8"/>
    <x v="62"/>
    <d v="2025-03-07T00:00:00"/>
    <x v="3"/>
    <x v="0"/>
    <x v="4"/>
    <x v="0"/>
    <x v="1"/>
    <x v="2"/>
    <x v="9"/>
    <x v="3"/>
  </r>
  <r>
    <x v="1678"/>
    <x v="2"/>
    <x v="1"/>
    <n v="87.2"/>
    <n v="174.4"/>
    <x v="62"/>
    <d v="2025-03-05T00:00:00"/>
    <x v="2"/>
    <x v="0"/>
    <x v="1"/>
    <x v="0"/>
    <x v="1"/>
    <x v="3"/>
    <x v="9"/>
    <x v="2"/>
  </r>
  <r>
    <x v="1679"/>
    <x v="15"/>
    <x v="0"/>
    <n v="58.8"/>
    <n v="58.8"/>
    <x v="62"/>
    <d v="2025-03-06T00:00:00"/>
    <x v="2"/>
    <x v="2"/>
    <x v="0"/>
    <x v="0"/>
    <x v="44"/>
    <x v="1"/>
    <x v="9"/>
    <x v="2"/>
  </r>
  <r>
    <x v="1680"/>
    <x v="2"/>
    <x v="3"/>
    <n v="125.5"/>
    <n v="878.5"/>
    <x v="62"/>
    <d v="2025-03-05T00:00:00"/>
    <x v="1"/>
    <x v="2"/>
    <x v="4"/>
    <x v="0"/>
    <x v="22"/>
    <x v="3"/>
    <x v="9"/>
    <x v="1"/>
  </r>
  <r>
    <x v="1681"/>
    <x v="1"/>
    <x v="12"/>
    <n v="124.6"/>
    <n v="498.4"/>
    <x v="62"/>
    <d v="2025-03-06T00:00:00"/>
    <x v="2"/>
    <x v="0"/>
    <x v="1"/>
    <x v="0"/>
    <x v="22"/>
    <x v="1"/>
    <x v="9"/>
    <x v="2"/>
  </r>
  <r>
    <x v="1682"/>
    <x v="1"/>
    <x v="3"/>
    <n v="39.9"/>
    <n v="279.3"/>
    <x v="62"/>
    <d v="2025-03-05T00:00:00"/>
    <x v="1"/>
    <x v="2"/>
    <x v="1"/>
    <x v="0"/>
    <x v="3"/>
    <x v="3"/>
    <x v="9"/>
    <x v="1"/>
  </r>
  <r>
    <x v="1683"/>
    <x v="6"/>
    <x v="0"/>
    <n v="94.6"/>
    <n v="94.6"/>
    <x v="62"/>
    <d v="2025-03-18T00:00:00"/>
    <x v="2"/>
    <x v="0"/>
    <x v="1"/>
    <x v="0"/>
    <x v="3"/>
    <x v="12"/>
    <x v="9"/>
    <x v="2"/>
  </r>
  <r>
    <x v="1684"/>
    <x v="2"/>
    <x v="1"/>
    <n v="149.6"/>
    <n v="299.2"/>
    <x v="62"/>
    <d v="2025-03-05T00:00:00"/>
    <x v="2"/>
    <x v="0"/>
    <x v="0"/>
    <x v="0"/>
    <x v="3"/>
    <x v="3"/>
    <x v="9"/>
    <x v="2"/>
  </r>
  <r>
    <x v="1685"/>
    <x v="8"/>
    <x v="0"/>
    <n v="52.2"/>
    <n v="52.2"/>
    <x v="62"/>
    <d v="2025-03-05T00:00:00"/>
    <x v="0"/>
    <x v="1"/>
    <x v="0"/>
    <x v="0"/>
    <x v="3"/>
    <x v="3"/>
    <x v="9"/>
    <x v="0"/>
  </r>
  <r>
    <x v="1686"/>
    <x v="6"/>
    <x v="1"/>
    <n v="96.5"/>
    <n v="193"/>
    <x v="62"/>
    <d v="2025-03-05T00:00:00"/>
    <x v="2"/>
    <x v="1"/>
    <x v="1"/>
    <x v="0"/>
    <x v="3"/>
    <x v="3"/>
    <x v="9"/>
    <x v="2"/>
  </r>
  <r>
    <x v="1687"/>
    <x v="8"/>
    <x v="1"/>
    <n v="79.8"/>
    <n v="159.6"/>
    <x v="62"/>
    <d v="2025-03-06T00:00:00"/>
    <x v="2"/>
    <x v="0"/>
    <x v="1"/>
    <x v="0"/>
    <x v="3"/>
    <x v="1"/>
    <x v="9"/>
    <x v="2"/>
  </r>
  <r>
    <x v="1688"/>
    <x v="8"/>
    <x v="2"/>
    <n v="35.6"/>
    <n v="106.80000000000001"/>
    <x v="62"/>
    <d v="2025-03-05T00:00:00"/>
    <x v="2"/>
    <x v="2"/>
    <x v="0"/>
    <x v="0"/>
    <x v="3"/>
    <x v="3"/>
    <x v="9"/>
    <x v="2"/>
  </r>
  <r>
    <x v="1689"/>
    <x v="16"/>
    <x v="0"/>
    <n v="50.2"/>
    <n v="50.2"/>
    <x v="62"/>
    <d v="2025-03-05T00:00:00"/>
    <x v="2"/>
    <x v="1"/>
    <x v="2"/>
    <x v="0"/>
    <x v="3"/>
    <x v="3"/>
    <x v="9"/>
    <x v="2"/>
  </r>
  <r>
    <x v="1690"/>
    <x v="1"/>
    <x v="2"/>
    <n v="55.3"/>
    <n v="165.89999999999998"/>
    <x v="62"/>
    <d v="2025-03-07T00:00:00"/>
    <x v="2"/>
    <x v="0"/>
    <x v="4"/>
    <x v="0"/>
    <x v="40"/>
    <x v="2"/>
    <x v="9"/>
    <x v="2"/>
  </r>
  <r>
    <x v="1691"/>
    <x v="6"/>
    <x v="3"/>
    <n v="104.5"/>
    <n v="731.5"/>
    <x v="62"/>
    <d v="2025-03-08T00:00:00"/>
    <x v="2"/>
    <x v="1"/>
    <x v="0"/>
    <x v="0"/>
    <x v="7"/>
    <x v="5"/>
    <x v="9"/>
    <x v="2"/>
  </r>
  <r>
    <x v="1692"/>
    <x v="6"/>
    <x v="12"/>
    <n v="66.5"/>
    <n v="266"/>
    <x v="62"/>
    <d v="2025-03-06T00:00:00"/>
    <x v="1"/>
    <x v="1"/>
    <x v="0"/>
    <x v="0"/>
    <x v="7"/>
    <x v="1"/>
    <x v="9"/>
    <x v="1"/>
  </r>
  <r>
    <x v="1693"/>
    <x v="10"/>
    <x v="8"/>
    <n v="38.299999999999997"/>
    <n v="306.39999999999998"/>
    <x v="62"/>
    <d v="2025-03-05T00:00:00"/>
    <x v="2"/>
    <x v="0"/>
    <x v="0"/>
    <x v="0"/>
    <x v="7"/>
    <x v="3"/>
    <x v="9"/>
    <x v="2"/>
  </r>
  <r>
    <x v="1694"/>
    <x v="6"/>
    <x v="2"/>
    <n v="63.8"/>
    <n v="191.39999999999998"/>
    <x v="62"/>
    <d v="2025-03-07T00:00:00"/>
    <x v="2"/>
    <x v="1"/>
    <x v="0"/>
    <x v="0"/>
    <x v="8"/>
    <x v="2"/>
    <x v="9"/>
    <x v="2"/>
  </r>
  <r>
    <x v="1695"/>
    <x v="15"/>
    <x v="0"/>
    <n v="21.4"/>
    <n v="21.4"/>
    <x v="62"/>
    <d v="2025-03-04T00:00:00"/>
    <x v="1"/>
    <x v="4"/>
    <x v="0"/>
    <x v="0"/>
    <x v="8"/>
    <x v="7"/>
    <x v="9"/>
    <x v="1"/>
  </r>
  <r>
    <x v="1696"/>
    <x v="8"/>
    <x v="12"/>
    <n v="44.1"/>
    <n v="176.4"/>
    <x v="62"/>
    <d v="2025-03-06T00:00:00"/>
    <x v="2"/>
    <x v="2"/>
    <x v="0"/>
    <x v="0"/>
    <x v="8"/>
    <x v="1"/>
    <x v="9"/>
    <x v="2"/>
  </r>
  <r>
    <x v="1697"/>
    <x v="5"/>
    <x v="8"/>
    <n v="57.6"/>
    <n v="460.8"/>
    <x v="62"/>
    <d v="2025-03-06T00:00:00"/>
    <x v="1"/>
    <x v="1"/>
    <x v="2"/>
    <x v="0"/>
    <x v="8"/>
    <x v="1"/>
    <x v="9"/>
    <x v="1"/>
  </r>
  <r>
    <x v="1698"/>
    <x v="9"/>
    <x v="1"/>
    <n v="20.3"/>
    <n v="40.6"/>
    <x v="62"/>
    <d v="2025-03-10T00:00:00"/>
    <x v="2"/>
    <x v="3"/>
    <x v="0"/>
    <x v="0"/>
    <x v="8"/>
    <x v="4"/>
    <x v="9"/>
    <x v="2"/>
  </r>
  <r>
    <x v="1699"/>
    <x v="8"/>
    <x v="0"/>
    <n v="22.9"/>
    <n v="22.9"/>
    <x v="62"/>
    <d v="2025-03-06T00:00:00"/>
    <x v="2"/>
    <x v="2"/>
    <x v="2"/>
    <x v="0"/>
    <x v="8"/>
    <x v="1"/>
    <x v="9"/>
    <x v="2"/>
  </r>
  <r>
    <x v="1700"/>
    <x v="6"/>
    <x v="12"/>
    <n v="105.9"/>
    <n v="423.6"/>
    <x v="62"/>
    <d v="2025-03-05T00:00:00"/>
    <x v="2"/>
    <x v="1"/>
    <x v="2"/>
    <x v="0"/>
    <x v="17"/>
    <x v="3"/>
    <x v="9"/>
    <x v="2"/>
  </r>
  <r>
    <x v="1701"/>
    <x v="1"/>
    <x v="11"/>
    <n v="37.4"/>
    <n v="336.59999999999997"/>
    <x v="62"/>
    <d v="2025-03-08T00:00:00"/>
    <x v="1"/>
    <x v="1"/>
    <x v="0"/>
    <x v="0"/>
    <x v="11"/>
    <x v="5"/>
    <x v="9"/>
    <x v="1"/>
  </r>
  <r>
    <x v="1702"/>
    <x v="18"/>
    <x v="1"/>
    <n v="79"/>
    <n v="158"/>
    <x v="62"/>
    <d v="2025-03-05T00:00:00"/>
    <x v="1"/>
    <x v="2"/>
    <x v="0"/>
    <x v="0"/>
    <x v="28"/>
    <x v="3"/>
    <x v="9"/>
    <x v="1"/>
  </r>
  <r>
    <x v="1703"/>
    <x v="0"/>
    <x v="2"/>
    <n v="19.3"/>
    <n v="57.900000000000006"/>
    <x v="62"/>
    <d v="2025-03-05T00:00:00"/>
    <x v="2"/>
    <x v="4"/>
    <x v="0"/>
    <x v="0"/>
    <x v="21"/>
    <x v="3"/>
    <x v="9"/>
    <x v="2"/>
  </r>
  <r>
    <x v="1704"/>
    <x v="0"/>
    <x v="0"/>
    <n v="24"/>
    <n v="24"/>
    <x v="62"/>
    <d v="2025-03-05T00:00:00"/>
    <x v="2"/>
    <x v="1"/>
    <x v="0"/>
    <x v="0"/>
    <x v="1"/>
    <x v="3"/>
    <x v="9"/>
    <x v="2"/>
  </r>
  <r>
    <x v="1705"/>
    <x v="6"/>
    <x v="9"/>
    <n v="71.3"/>
    <n v="356.5"/>
    <x v="62"/>
    <d v="2025-03-07T00:00:00"/>
    <x v="2"/>
    <x v="2"/>
    <x v="0"/>
    <x v="0"/>
    <x v="2"/>
    <x v="2"/>
    <x v="9"/>
    <x v="2"/>
  </r>
  <r>
    <x v="1706"/>
    <x v="5"/>
    <x v="1"/>
    <n v="166.2"/>
    <n v="332.4"/>
    <x v="62"/>
    <d v="2025-03-05T00:00:00"/>
    <x v="1"/>
    <x v="0"/>
    <x v="2"/>
    <x v="0"/>
    <x v="50"/>
    <x v="3"/>
    <x v="9"/>
    <x v="1"/>
  </r>
  <r>
    <x v="1707"/>
    <x v="6"/>
    <x v="0"/>
    <n v="81"/>
    <n v="81"/>
    <x v="62"/>
    <d v="2025-03-05T00:00:00"/>
    <x v="2"/>
    <x v="2"/>
    <x v="1"/>
    <x v="0"/>
    <x v="3"/>
    <x v="3"/>
    <x v="9"/>
    <x v="2"/>
  </r>
  <r>
    <x v="1708"/>
    <x v="10"/>
    <x v="13"/>
    <n v="38.5"/>
    <n v="231"/>
    <x v="62"/>
    <d v="2025-03-08T00:00:00"/>
    <x v="2"/>
    <x v="0"/>
    <x v="0"/>
    <x v="0"/>
    <x v="3"/>
    <x v="5"/>
    <x v="9"/>
    <x v="2"/>
  </r>
  <r>
    <x v="1709"/>
    <x v="6"/>
    <x v="0"/>
    <n v="86.1"/>
    <n v="86.1"/>
    <x v="62"/>
    <d v="2025-03-06T00:00:00"/>
    <x v="2"/>
    <x v="3"/>
    <x v="0"/>
    <x v="0"/>
    <x v="3"/>
    <x v="1"/>
    <x v="9"/>
    <x v="2"/>
  </r>
  <r>
    <x v="1710"/>
    <x v="2"/>
    <x v="9"/>
    <n v="51"/>
    <n v="255"/>
    <x v="62"/>
    <d v="2025-03-05T00:00:00"/>
    <x v="1"/>
    <x v="0"/>
    <x v="1"/>
    <x v="0"/>
    <x v="3"/>
    <x v="3"/>
    <x v="9"/>
    <x v="1"/>
  </r>
  <r>
    <x v="1711"/>
    <x v="3"/>
    <x v="9"/>
    <n v="115.4"/>
    <n v="577"/>
    <x v="62"/>
    <d v="2025-03-05T00:00:00"/>
    <x v="1"/>
    <x v="0"/>
    <x v="0"/>
    <x v="0"/>
    <x v="3"/>
    <x v="3"/>
    <x v="9"/>
    <x v="1"/>
  </r>
  <r>
    <x v="1712"/>
    <x v="6"/>
    <x v="12"/>
    <n v="176.5"/>
    <n v="706"/>
    <x v="62"/>
    <d v="2025-03-05T00:00:00"/>
    <x v="2"/>
    <x v="2"/>
    <x v="2"/>
    <x v="0"/>
    <x v="3"/>
    <x v="3"/>
    <x v="9"/>
    <x v="2"/>
  </r>
  <r>
    <x v="1713"/>
    <x v="7"/>
    <x v="2"/>
    <n v="48.9"/>
    <n v="146.69999999999999"/>
    <x v="62"/>
    <d v="2025-03-05T00:00:00"/>
    <x v="1"/>
    <x v="4"/>
    <x v="0"/>
    <x v="0"/>
    <x v="3"/>
    <x v="3"/>
    <x v="9"/>
    <x v="1"/>
  </r>
  <r>
    <x v="1714"/>
    <x v="8"/>
    <x v="2"/>
    <n v="18.100000000000001"/>
    <n v="54.300000000000004"/>
    <x v="62"/>
    <d v="2025-03-11T00:00:00"/>
    <x v="2"/>
    <x v="1"/>
    <x v="2"/>
    <x v="0"/>
    <x v="29"/>
    <x v="6"/>
    <x v="9"/>
    <x v="2"/>
  </r>
  <r>
    <x v="1715"/>
    <x v="2"/>
    <x v="1"/>
    <n v="118.5"/>
    <n v="237"/>
    <x v="62"/>
    <d v="2025-03-07T00:00:00"/>
    <x v="1"/>
    <x v="1"/>
    <x v="2"/>
    <x v="0"/>
    <x v="16"/>
    <x v="2"/>
    <x v="9"/>
    <x v="1"/>
  </r>
  <r>
    <x v="1716"/>
    <x v="15"/>
    <x v="3"/>
    <n v="59.1"/>
    <n v="413.7"/>
    <x v="62"/>
    <d v="2025-03-05T00:00:00"/>
    <x v="2"/>
    <x v="3"/>
    <x v="0"/>
    <x v="0"/>
    <x v="25"/>
    <x v="3"/>
    <x v="9"/>
    <x v="2"/>
  </r>
  <r>
    <x v="1717"/>
    <x v="4"/>
    <x v="0"/>
    <n v="21.2"/>
    <n v="21.2"/>
    <x v="62"/>
    <d v="2025-03-05T00:00:00"/>
    <x v="2"/>
    <x v="0"/>
    <x v="1"/>
    <x v="0"/>
    <x v="6"/>
    <x v="3"/>
    <x v="9"/>
    <x v="2"/>
  </r>
  <r>
    <x v="1718"/>
    <x v="6"/>
    <x v="1"/>
    <n v="68.8"/>
    <n v="137.6"/>
    <x v="62"/>
    <d v="2025-03-09T00:00:00"/>
    <x v="2"/>
    <x v="3"/>
    <x v="2"/>
    <x v="0"/>
    <x v="6"/>
    <x v="0"/>
    <x v="9"/>
    <x v="2"/>
  </r>
  <r>
    <x v="1719"/>
    <x v="6"/>
    <x v="1"/>
    <n v="65.400000000000006"/>
    <n v="130.80000000000001"/>
    <x v="62"/>
    <d v="2025-03-08T00:00:00"/>
    <x v="2"/>
    <x v="0"/>
    <x v="0"/>
    <x v="0"/>
    <x v="6"/>
    <x v="5"/>
    <x v="9"/>
    <x v="2"/>
  </r>
  <r>
    <x v="1720"/>
    <x v="12"/>
    <x v="9"/>
    <n v="66.3"/>
    <n v="331.5"/>
    <x v="63"/>
    <d v="2025-03-08T00:00:00"/>
    <x v="2"/>
    <x v="4"/>
    <x v="0"/>
    <x v="0"/>
    <x v="6"/>
    <x v="2"/>
    <x v="9"/>
    <x v="2"/>
  </r>
  <r>
    <x v="1721"/>
    <x v="6"/>
    <x v="2"/>
    <n v="97.5"/>
    <n v="292.5"/>
    <x v="63"/>
    <d v="2025-03-05T00:00:00"/>
    <x v="1"/>
    <x v="3"/>
    <x v="0"/>
    <x v="0"/>
    <x v="8"/>
    <x v="7"/>
    <x v="9"/>
    <x v="1"/>
  </r>
  <r>
    <x v="1722"/>
    <x v="1"/>
    <x v="1"/>
    <n v="44"/>
    <n v="88"/>
    <x v="63"/>
    <d v="2025-03-08T00:00:00"/>
    <x v="2"/>
    <x v="1"/>
    <x v="2"/>
    <x v="0"/>
    <x v="8"/>
    <x v="2"/>
    <x v="9"/>
    <x v="2"/>
  </r>
  <r>
    <x v="1723"/>
    <x v="0"/>
    <x v="0"/>
    <n v="21.9"/>
    <n v="21.9"/>
    <x v="63"/>
    <d v="2025-03-06T00:00:00"/>
    <x v="1"/>
    <x v="0"/>
    <x v="0"/>
    <x v="0"/>
    <x v="8"/>
    <x v="3"/>
    <x v="9"/>
    <x v="1"/>
  </r>
  <r>
    <x v="1724"/>
    <x v="4"/>
    <x v="3"/>
    <n v="21.5"/>
    <n v="150.5"/>
    <x v="63"/>
    <d v="2025-03-07T00:00:00"/>
    <x v="2"/>
    <x v="1"/>
    <x v="2"/>
    <x v="0"/>
    <x v="9"/>
    <x v="1"/>
    <x v="9"/>
    <x v="2"/>
  </r>
  <r>
    <x v="1725"/>
    <x v="12"/>
    <x v="13"/>
    <n v="133"/>
    <n v="798"/>
    <x v="63"/>
    <d v="2025-03-06T00:00:00"/>
    <x v="3"/>
    <x v="0"/>
    <x v="2"/>
    <x v="0"/>
    <x v="10"/>
    <x v="3"/>
    <x v="9"/>
    <x v="3"/>
  </r>
  <r>
    <x v="1726"/>
    <x v="8"/>
    <x v="1"/>
    <n v="47.7"/>
    <n v="95.4"/>
    <x v="63"/>
    <d v="2025-03-09T00:00:00"/>
    <x v="1"/>
    <x v="0"/>
    <x v="2"/>
    <x v="0"/>
    <x v="10"/>
    <x v="5"/>
    <x v="9"/>
    <x v="1"/>
  </r>
  <r>
    <x v="1727"/>
    <x v="16"/>
    <x v="2"/>
    <n v="58.1"/>
    <n v="174.3"/>
    <x v="63"/>
    <d v="2025-03-06T00:00:00"/>
    <x v="2"/>
    <x v="0"/>
    <x v="0"/>
    <x v="0"/>
    <x v="11"/>
    <x v="3"/>
    <x v="9"/>
    <x v="2"/>
  </r>
  <r>
    <x v="1728"/>
    <x v="12"/>
    <x v="12"/>
    <n v="66.599999999999994"/>
    <n v="266.39999999999998"/>
    <x v="63"/>
    <d v="2025-03-06T00:00:00"/>
    <x v="0"/>
    <x v="0"/>
    <x v="0"/>
    <x v="0"/>
    <x v="11"/>
    <x v="3"/>
    <x v="9"/>
    <x v="0"/>
  </r>
  <r>
    <x v="1729"/>
    <x v="9"/>
    <x v="0"/>
    <n v="24.1"/>
    <n v="24.1"/>
    <x v="63"/>
    <d v="2025-03-08T00:00:00"/>
    <x v="1"/>
    <x v="2"/>
    <x v="1"/>
    <x v="0"/>
    <x v="19"/>
    <x v="2"/>
    <x v="9"/>
    <x v="1"/>
  </r>
  <r>
    <x v="1730"/>
    <x v="10"/>
    <x v="9"/>
    <n v="51.5"/>
    <n v="257.5"/>
    <x v="63"/>
    <d v="2025-03-10T00:00:00"/>
    <x v="2"/>
    <x v="0"/>
    <x v="0"/>
    <x v="0"/>
    <x v="13"/>
    <x v="0"/>
    <x v="9"/>
    <x v="2"/>
  </r>
  <r>
    <x v="1731"/>
    <x v="0"/>
    <x v="5"/>
    <n v="25.8"/>
    <n v="283.8"/>
    <x v="63"/>
    <d v="2025-03-09T00:00:00"/>
    <x v="2"/>
    <x v="3"/>
    <x v="4"/>
    <x v="0"/>
    <x v="21"/>
    <x v="5"/>
    <x v="9"/>
    <x v="2"/>
  </r>
  <r>
    <x v="1732"/>
    <x v="9"/>
    <x v="12"/>
    <n v="47.7"/>
    <n v="190.8"/>
    <x v="63"/>
    <d v="2025-03-05T00:00:00"/>
    <x v="2"/>
    <x v="0"/>
    <x v="1"/>
    <x v="0"/>
    <x v="21"/>
    <x v="7"/>
    <x v="9"/>
    <x v="2"/>
  </r>
  <r>
    <x v="1733"/>
    <x v="7"/>
    <x v="9"/>
    <n v="73.599999999999994"/>
    <n v="368"/>
    <x v="63"/>
    <d v="2025-03-09T00:00:00"/>
    <x v="1"/>
    <x v="1"/>
    <x v="0"/>
    <x v="0"/>
    <x v="21"/>
    <x v="5"/>
    <x v="9"/>
    <x v="1"/>
  </r>
  <r>
    <x v="1734"/>
    <x v="5"/>
    <x v="3"/>
    <n v="91.2"/>
    <n v="638.4"/>
    <x v="63"/>
    <d v="2025-03-06T00:00:00"/>
    <x v="1"/>
    <x v="1"/>
    <x v="2"/>
    <x v="0"/>
    <x v="21"/>
    <x v="3"/>
    <x v="9"/>
    <x v="1"/>
  </r>
  <r>
    <x v="1735"/>
    <x v="1"/>
    <x v="8"/>
    <n v="36.200000000000003"/>
    <n v="289.60000000000002"/>
    <x v="63"/>
    <d v="2025-03-05T00:00:00"/>
    <x v="1"/>
    <x v="2"/>
    <x v="2"/>
    <x v="0"/>
    <x v="1"/>
    <x v="7"/>
    <x v="9"/>
    <x v="1"/>
  </r>
  <r>
    <x v="1736"/>
    <x v="9"/>
    <x v="8"/>
    <n v="98"/>
    <n v="784"/>
    <x v="63"/>
    <d v="2025-03-09T00:00:00"/>
    <x v="2"/>
    <x v="2"/>
    <x v="0"/>
    <x v="0"/>
    <x v="2"/>
    <x v="5"/>
    <x v="9"/>
    <x v="2"/>
  </r>
  <r>
    <x v="1737"/>
    <x v="1"/>
    <x v="8"/>
    <n v="43.6"/>
    <n v="348.8"/>
    <x v="63"/>
    <d v="2025-03-06T00:00:00"/>
    <x v="2"/>
    <x v="2"/>
    <x v="0"/>
    <x v="0"/>
    <x v="22"/>
    <x v="3"/>
    <x v="9"/>
    <x v="2"/>
  </r>
  <r>
    <x v="1738"/>
    <x v="8"/>
    <x v="7"/>
    <n v="37.799999999999997"/>
    <n v="378"/>
    <x v="63"/>
    <d v="2025-03-05T00:00:00"/>
    <x v="3"/>
    <x v="0"/>
    <x v="0"/>
    <x v="0"/>
    <x v="50"/>
    <x v="7"/>
    <x v="9"/>
    <x v="3"/>
  </r>
  <r>
    <x v="1739"/>
    <x v="17"/>
    <x v="9"/>
    <n v="63.7"/>
    <n v="318.5"/>
    <x v="63"/>
    <d v="2025-03-08T00:00:00"/>
    <x v="2"/>
    <x v="2"/>
    <x v="1"/>
    <x v="0"/>
    <x v="3"/>
    <x v="2"/>
    <x v="9"/>
    <x v="2"/>
  </r>
  <r>
    <x v="1740"/>
    <x v="5"/>
    <x v="11"/>
    <n v="62.9"/>
    <n v="566.1"/>
    <x v="63"/>
    <d v="2025-03-10T00:00:00"/>
    <x v="1"/>
    <x v="3"/>
    <x v="2"/>
    <x v="0"/>
    <x v="3"/>
    <x v="0"/>
    <x v="9"/>
    <x v="1"/>
  </r>
  <r>
    <x v="1741"/>
    <x v="6"/>
    <x v="3"/>
    <n v="61.7"/>
    <n v="431.90000000000003"/>
    <x v="63"/>
    <d v="2025-03-08T00:00:00"/>
    <x v="2"/>
    <x v="2"/>
    <x v="2"/>
    <x v="0"/>
    <x v="3"/>
    <x v="2"/>
    <x v="9"/>
    <x v="2"/>
  </r>
  <r>
    <x v="1742"/>
    <x v="18"/>
    <x v="21"/>
    <n v="36.5"/>
    <n v="511"/>
    <x v="63"/>
    <d v="2025-03-06T00:00:00"/>
    <x v="1"/>
    <x v="0"/>
    <x v="2"/>
    <x v="0"/>
    <x v="3"/>
    <x v="3"/>
    <x v="9"/>
    <x v="1"/>
  </r>
  <r>
    <x v="1743"/>
    <x v="11"/>
    <x v="2"/>
    <n v="98.6"/>
    <n v="295.79999999999995"/>
    <x v="63"/>
    <d v="2025-03-08T00:00:00"/>
    <x v="3"/>
    <x v="0"/>
    <x v="4"/>
    <x v="0"/>
    <x v="3"/>
    <x v="2"/>
    <x v="9"/>
    <x v="3"/>
  </r>
  <r>
    <x v="1744"/>
    <x v="8"/>
    <x v="1"/>
    <n v="19.2"/>
    <n v="38.4"/>
    <x v="63"/>
    <d v="2025-03-15T00:00:00"/>
    <x v="1"/>
    <x v="0"/>
    <x v="0"/>
    <x v="0"/>
    <x v="3"/>
    <x v="14"/>
    <x v="9"/>
    <x v="1"/>
  </r>
  <r>
    <x v="1745"/>
    <x v="3"/>
    <x v="13"/>
    <n v="55.6"/>
    <n v="333.6"/>
    <x v="63"/>
    <d v="2025-03-09T00:00:00"/>
    <x v="2"/>
    <x v="0"/>
    <x v="2"/>
    <x v="0"/>
    <x v="3"/>
    <x v="5"/>
    <x v="9"/>
    <x v="2"/>
  </r>
  <r>
    <x v="1746"/>
    <x v="5"/>
    <x v="13"/>
    <n v="56.4"/>
    <n v="338.4"/>
    <x v="63"/>
    <d v="2025-03-06T00:00:00"/>
    <x v="2"/>
    <x v="1"/>
    <x v="0"/>
    <x v="0"/>
    <x v="3"/>
    <x v="3"/>
    <x v="9"/>
    <x v="2"/>
  </r>
  <r>
    <x v="1747"/>
    <x v="4"/>
    <x v="8"/>
    <n v="43.1"/>
    <n v="344.8"/>
    <x v="63"/>
    <d v="2025-03-09T00:00:00"/>
    <x v="2"/>
    <x v="4"/>
    <x v="0"/>
    <x v="0"/>
    <x v="3"/>
    <x v="5"/>
    <x v="9"/>
    <x v="2"/>
  </r>
  <r>
    <x v="1748"/>
    <x v="1"/>
    <x v="1"/>
    <n v="77.3"/>
    <n v="154.6"/>
    <x v="63"/>
    <d v="2025-03-07T00:00:00"/>
    <x v="1"/>
    <x v="0"/>
    <x v="0"/>
    <x v="0"/>
    <x v="6"/>
    <x v="1"/>
    <x v="9"/>
    <x v="1"/>
  </r>
  <r>
    <x v="1749"/>
    <x v="9"/>
    <x v="8"/>
    <n v="38.299999999999997"/>
    <n v="306.39999999999998"/>
    <x v="63"/>
    <d v="2025-03-06T00:00:00"/>
    <x v="1"/>
    <x v="0"/>
    <x v="0"/>
    <x v="0"/>
    <x v="7"/>
    <x v="3"/>
    <x v="9"/>
    <x v="1"/>
  </r>
  <r>
    <x v="1750"/>
    <x v="0"/>
    <x v="3"/>
    <n v="16.8"/>
    <n v="117.60000000000001"/>
    <x v="63"/>
    <d v="2025-03-08T00:00:00"/>
    <x v="1"/>
    <x v="2"/>
    <x v="1"/>
    <x v="0"/>
    <x v="8"/>
    <x v="2"/>
    <x v="9"/>
    <x v="1"/>
  </r>
  <r>
    <x v="1751"/>
    <x v="2"/>
    <x v="2"/>
    <n v="63.2"/>
    <n v="189.60000000000002"/>
    <x v="63"/>
    <d v="2025-03-06T00:00:00"/>
    <x v="2"/>
    <x v="0"/>
    <x v="2"/>
    <x v="0"/>
    <x v="8"/>
    <x v="3"/>
    <x v="9"/>
    <x v="2"/>
  </r>
  <r>
    <x v="1752"/>
    <x v="14"/>
    <x v="44"/>
    <n v="39.700000000000003"/>
    <n v="913.1"/>
    <x v="63"/>
    <d v="2025-03-06T00:00:00"/>
    <x v="1"/>
    <x v="0"/>
    <x v="0"/>
    <x v="0"/>
    <x v="8"/>
    <x v="3"/>
    <x v="9"/>
    <x v="1"/>
  </r>
  <r>
    <x v="1753"/>
    <x v="10"/>
    <x v="2"/>
    <n v="45.8"/>
    <n v="137.39999999999998"/>
    <x v="63"/>
    <d v="2025-03-06T00:00:00"/>
    <x v="2"/>
    <x v="1"/>
    <x v="2"/>
    <x v="0"/>
    <x v="8"/>
    <x v="3"/>
    <x v="9"/>
    <x v="2"/>
  </r>
  <r>
    <x v="1754"/>
    <x v="0"/>
    <x v="13"/>
    <n v="12.4"/>
    <n v="74.400000000000006"/>
    <x v="63"/>
    <d v="2025-03-08T00:00:00"/>
    <x v="1"/>
    <x v="0"/>
    <x v="0"/>
    <x v="0"/>
    <x v="8"/>
    <x v="2"/>
    <x v="9"/>
    <x v="1"/>
  </r>
  <r>
    <x v="1755"/>
    <x v="14"/>
    <x v="2"/>
    <n v="50.8"/>
    <n v="152.39999999999998"/>
    <x v="64"/>
    <d v="2025-03-06T00:00:00"/>
    <x v="2"/>
    <x v="4"/>
    <x v="0"/>
    <x v="0"/>
    <x v="17"/>
    <x v="7"/>
    <x v="9"/>
    <x v="2"/>
  </r>
  <r>
    <x v="1756"/>
    <x v="9"/>
    <x v="0"/>
    <n v="76"/>
    <n v="76"/>
    <x v="64"/>
    <d v="2025-03-10T00:00:00"/>
    <x v="3"/>
    <x v="2"/>
    <x v="2"/>
    <x v="0"/>
    <x v="17"/>
    <x v="5"/>
    <x v="9"/>
    <x v="3"/>
  </r>
  <r>
    <x v="1757"/>
    <x v="1"/>
    <x v="1"/>
    <n v="51.9"/>
    <n v="103.8"/>
    <x v="64"/>
    <d v="2025-03-07T00:00:00"/>
    <x v="1"/>
    <x v="1"/>
    <x v="2"/>
    <x v="0"/>
    <x v="26"/>
    <x v="3"/>
    <x v="9"/>
    <x v="1"/>
  </r>
  <r>
    <x v="1758"/>
    <x v="2"/>
    <x v="1"/>
    <n v="93.4"/>
    <n v="186.8"/>
    <x v="64"/>
    <d v="2025-03-13T00:00:00"/>
    <x v="1"/>
    <x v="0"/>
    <x v="3"/>
    <x v="0"/>
    <x v="11"/>
    <x v="6"/>
    <x v="9"/>
    <x v="1"/>
  </r>
  <r>
    <x v="1759"/>
    <x v="7"/>
    <x v="13"/>
    <n v="30.8"/>
    <n v="184.8"/>
    <x v="64"/>
    <d v="2025-03-09T00:00:00"/>
    <x v="2"/>
    <x v="1"/>
    <x v="0"/>
    <x v="0"/>
    <x v="11"/>
    <x v="2"/>
    <x v="9"/>
    <x v="2"/>
  </r>
  <r>
    <x v="1760"/>
    <x v="2"/>
    <x v="0"/>
    <n v="143.19999999999999"/>
    <n v="143.19999999999999"/>
    <x v="64"/>
    <d v="2025-03-09T00:00:00"/>
    <x v="1"/>
    <x v="2"/>
    <x v="0"/>
    <x v="0"/>
    <x v="11"/>
    <x v="2"/>
    <x v="9"/>
    <x v="1"/>
  </r>
  <r>
    <x v="1761"/>
    <x v="6"/>
    <x v="5"/>
    <n v="40.4"/>
    <n v="444.4"/>
    <x v="64"/>
    <d v="2025-03-08T00:00:00"/>
    <x v="1"/>
    <x v="2"/>
    <x v="2"/>
    <x v="0"/>
    <x v="18"/>
    <x v="1"/>
    <x v="9"/>
    <x v="1"/>
  </r>
  <r>
    <x v="1762"/>
    <x v="2"/>
    <x v="10"/>
    <n v="131.5"/>
    <n v="2498.5"/>
    <x v="64"/>
    <d v="2025-03-08T00:00:00"/>
    <x v="1"/>
    <x v="1"/>
    <x v="1"/>
    <x v="0"/>
    <x v="18"/>
    <x v="1"/>
    <x v="9"/>
    <x v="1"/>
  </r>
  <r>
    <x v="1763"/>
    <x v="18"/>
    <x v="3"/>
    <n v="61.6"/>
    <n v="431.2"/>
    <x v="64"/>
    <d v="2025-03-07T00:00:00"/>
    <x v="1"/>
    <x v="2"/>
    <x v="0"/>
    <x v="0"/>
    <x v="21"/>
    <x v="3"/>
    <x v="9"/>
    <x v="1"/>
  </r>
  <r>
    <x v="1764"/>
    <x v="9"/>
    <x v="9"/>
    <n v="32.700000000000003"/>
    <n v="163.5"/>
    <x v="64"/>
    <d v="2025-03-08T00:00:00"/>
    <x v="1"/>
    <x v="2"/>
    <x v="0"/>
    <x v="0"/>
    <x v="1"/>
    <x v="1"/>
    <x v="9"/>
    <x v="1"/>
  </r>
  <r>
    <x v="1765"/>
    <x v="0"/>
    <x v="7"/>
    <n v="13.7"/>
    <n v="137"/>
    <x v="64"/>
    <d v="2025-03-07T00:00:00"/>
    <x v="1"/>
    <x v="0"/>
    <x v="2"/>
    <x v="0"/>
    <x v="3"/>
    <x v="3"/>
    <x v="9"/>
    <x v="1"/>
  </r>
  <r>
    <x v="1766"/>
    <x v="0"/>
    <x v="12"/>
    <n v="32.1"/>
    <n v="128.4"/>
    <x v="64"/>
    <d v="2025-03-07T00:00:00"/>
    <x v="1"/>
    <x v="4"/>
    <x v="1"/>
    <x v="0"/>
    <x v="3"/>
    <x v="3"/>
    <x v="9"/>
    <x v="1"/>
  </r>
  <r>
    <x v="1767"/>
    <x v="14"/>
    <x v="8"/>
    <n v="12"/>
    <n v="96"/>
    <x v="64"/>
    <d v="2025-03-07T00:00:00"/>
    <x v="1"/>
    <x v="1"/>
    <x v="0"/>
    <x v="0"/>
    <x v="24"/>
    <x v="3"/>
    <x v="9"/>
    <x v="1"/>
  </r>
  <r>
    <x v="1768"/>
    <x v="12"/>
    <x v="0"/>
    <n v="64.3"/>
    <n v="64.3"/>
    <x v="64"/>
    <d v="2025-03-08T00:00:00"/>
    <x v="2"/>
    <x v="2"/>
    <x v="2"/>
    <x v="0"/>
    <x v="6"/>
    <x v="1"/>
    <x v="9"/>
    <x v="2"/>
  </r>
  <r>
    <x v="1769"/>
    <x v="1"/>
    <x v="2"/>
    <n v="58.2"/>
    <n v="174.60000000000002"/>
    <x v="64"/>
    <d v="2025-03-08T00:00:00"/>
    <x v="2"/>
    <x v="1"/>
    <x v="2"/>
    <x v="0"/>
    <x v="6"/>
    <x v="1"/>
    <x v="9"/>
    <x v="2"/>
  </r>
  <r>
    <x v="1770"/>
    <x v="6"/>
    <x v="12"/>
    <n v="59.2"/>
    <n v="236.8"/>
    <x v="64"/>
    <d v="2025-03-06T00:00:00"/>
    <x v="1"/>
    <x v="1"/>
    <x v="2"/>
    <x v="0"/>
    <x v="6"/>
    <x v="7"/>
    <x v="9"/>
    <x v="1"/>
  </r>
  <r>
    <x v="1771"/>
    <x v="10"/>
    <x v="5"/>
    <n v="35.6"/>
    <n v="391.6"/>
    <x v="64"/>
    <d v="2025-03-13T00:00:00"/>
    <x v="1"/>
    <x v="0"/>
    <x v="2"/>
    <x v="0"/>
    <x v="8"/>
    <x v="6"/>
    <x v="9"/>
    <x v="1"/>
  </r>
  <r>
    <x v="1772"/>
    <x v="16"/>
    <x v="8"/>
    <n v="37"/>
    <n v="296"/>
    <x v="64"/>
    <d v="2025-03-10T00:00:00"/>
    <x v="2"/>
    <x v="2"/>
    <x v="1"/>
    <x v="0"/>
    <x v="8"/>
    <x v="5"/>
    <x v="9"/>
    <x v="2"/>
  </r>
  <r>
    <x v="1773"/>
    <x v="1"/>
    <x v="15"/>
    <n v="80.8"/>
    <n v="1050.3999999999999"/>
    <x v="64"/>
    <d v="2025-03-08T00:00:00"/>
    <x v="2"/>
    <x v="0"/>
    <x v="0"/>
    <x v="0"/>
    <x v="8"/>
    <x v="1"/>
    <x v="9"/>
    <x v="2"/>
  </r>
  <r>
    <x v="1774"/>
    <x v="8"/>
    <x v="1"/>
    <n v="63.2"/>
    <n v="126.4"/>
    <x v="64"/>
    <d v="2025-03-07T00:00:00"/>
    <x v="1"/>
    <x v="0"/>
    <x v="1"/>
    <x v="0"/>
    <x v="8"/>
    <x v="3"/>
    <x v="9"/>
    <x v="1"/>
  </r>
  <r>
    <x v="1775"/>
    <x v="3"/>
    <x v="1"/>
    <n v="40.799999999999997"/>
    <n v="81.599999999999994"/>
    <x v="64"/>
    <d v="2025-03-08T00:00:00"/>
    <x v="1"/>
    <x v="0"/>
    <x v="1"/>
    <x v="0"/>
    <x v="17"/>
    <x v="1"/>
    <x v="9"/>
    <x v="1"/>
  </r>
  <r>
    <x v="1776"/>
    <x v="13"/>
    <x v="13"/>
    <n v="25.7"/>
    <n v="154.19999999999999"/>
    <x v="64"/>
    <d v="2025-03-08T00:00:00"/>
    <x v="1"/>
    <x v="4"/>
    <x v="0"/>
    <x v="0"/>
    <x v="18"/>
    <x v="1"/>
    <x v="9"/>
    <x v="1"/>
  </r>
  <r>
    <x v="1777"/>
    <x v="16"/>
    <x v="1"/>
    <n v="49.9"/>
    <n v="99.8"/>
    <x v="64"/>
    <d v="2025-03-09T00:00:00"/>
    <x v="1"/>
    <x v="0"/>
    <x v="0"/>
    <x v="0"/>
    <x v="20"/>
    <x v="2"/>
    <x v="9"/>
    <x v="1"/>
  </r>
  <r>
    <x v="1778"/>
    <x v="8"/>
    <x v="1"/>
    <n v="20.2"/>
    <n v="40.4"/>
    <x v="64"/>
    <d v="2025-03-08T00:00:00"/>
    <x v="2"/>
    <x v="3"/>
    <x v="0"/>
    <x v="0"/>
    <x v="21"/>
    <x v="1"/>
    <x v="9"/>
    <x v="2"/>
  </r>
  <r>
    <x v="1779"/>
    <x v="6"/>
    <x v="2"/>
    <n v="48.4"/>
    <n v="145.19999999999999"/>
    <x v="64"/>
    <d v="2025-03-11T00:00:00"/>
    <x v="2"/>
    <x v="0"/>
    <x v="2"/>
    <x v="0"/>
    <x v="21"/>
    <x v="0"/>
    <x v="9"/>
    <x v="2"/>
  </r>
  <r>
    <x v="1780"/>
    <x v="6"/>
    <x v="1"/>
    <n v="81"/>
    <n v="162"/>
    <x v="64"/>
    <d v="2025-03-07T00:00:00"/>
    <x v="2"/>
    <x v="1"/>
    <x v="2"/>
    <x v="0"/>
    <x v="21"/>
    <x v="3"/>
    <x v="9"/>
    <x v="2"/>
  </r>
  <r>
    <x v="1781"/>
    <x v="8"/>
    <x v="13"/>
    <n v="19.899999999999999"/>
    <n v="119.39999999999999"/>
    <x v="64"/>
    <d v="2025-03-09T00:00:00"/>
    <x v="2"/>
    <x v="0"/>
    <x v="1"/>
    <x v="0"/>
    <x v="22"/>
    <x v="2"/>
    <x v="9"/>
    <x v="2"/>
  </r>
  <r>
    <x v="1782"/>
    <x v="4"/>
    <x v="12"/>
    <n v="32.200000000000003"/>
    <n v="128.80000000000001"/>
    <x v="64"/>
    <d v="2025-03-16T00:00:00"/>
    <x v="1"/>
    <x v="0"/>
    <x v="0"/>
    <x v="0"/>
    <x v="22"/>
    <x v="14"/>
    <x v="9"/>
    <x v="1"/>
  </r>
  <r>
    <x v="1783"/>
    <x v="5"/>
    <x v="2"/>
    <n v="76.8"/>
    <n v="230.39999999999998"/>
    <x v="64"/>
    <d v="2025-03-07T00:00:00"/>
    <x v="2"/>
    <x v="0"/>
    <x v="1"/>
    <x v="0"/>
    <x v="3"/>
    <x v="3"/>
    <x v="9"/>
    <x v="2"/>
  </r>
  <r>
    <x v="1784"/>
    <x v="6"/>
    <x v="1"/>
    <n v="41.9"/>
    <n v="83.8"/>
    <x v="64"/>
    <d v="2025-03-08T00:00:00"/>
    <x v="2"/>
    <x v="0"/>
    <x v="0"/>
    <x v="0"/>
    <x v="3"/>
    <x v="1"/>
    <x v="9"/>
    <x v="2"/>
  </r>
  <r>
    <x v="1785"/>
    <x v="0"/>
    <x v="3"/>
    <n v="34"/>
    <n v="238"/>
    <x v="64"/>
    <d v="2025-03-08T00:00:00"/>
    <x v="2"/>
    <x v="1"/>
    <x v="2"/>
    <x v="0"/>
    <x v="3"/>
    <x v="1"/>
    <x v="9"/>
    <x v="2"/>
  </r>
  <r>
    <x v="1786"/>
    <x v="7"/>
    <x v="3"/>
    <n v="61.3"/>
    <n v="429.09999999999997"/>
    <x v="64"/>
    <d v="2025-03-06T00:00:00"/>
    <x v="2"/>
    <x v="4"/>
    <x v="2"/>
    <x v="0"/>
    <x v="3"/>
    <x v="7"/>
    <x v="9"/>
    <x v="2"/>
  </r>
  <r>
    <x v="1787"/>
    <x v="9"/>
    <x v="0"/>
    <n v="54.7"/>
    <n v="54.7"/>
    <x v="65"/>
    <d v="2025-03-08T00:00:00"/>
    <x v="1"/>
    <x v="0"/>
    <x v="1"/>
    <x v="0"/>
    <x v="3"/>
    <x v="3"/>
    <x v="9"/>
    <x v="1"/>
  </r>
  <r>
    <x v="1788"/>
    <x v="6"/>
    <x v="7"/>
    <n v="84.7"/>
    <n v="847"/>
    <x v="65"/>
    <d v="2025-03-11T00:00:00"/>
    <x v="2"/>
    <x v="0"/>
    <x v="0"/>
    <x v="0"/>
    <x v="3"/>
    <x v="5"/>
    <x v="9"/>
    <x v="2"/>
  </r>
  <r>
    <x v="1789"/>
    <x v="1"/>
    <x v="2"/>
    <n v="93.4"/>
    <n v="280.20000000000005"/>
    <x v="65"/>
    <d v="2025-03-11T00:00:00"/>
    <x v="2"/>
    <x v="3"/>
    <x v="0"/>
    <x v="0"/>
    <x v="3"/>
    <x v="5"/>
    <x v="9"/>
    <x v="2"/>
  </r>
  <r>
    <x v="1790"/>
    <x v="8"/>
    <x v="9"/>
    <n v="27"/>
    <n v="135"/>
    <x v="65"/>
    <d v="2025-03-10T00:00:00"/>
    <x v="1"/>
    <x v="0"/>
    <x v="1"/>
    <x v="0"/>
    <x v="3"/>
    <x v="2"/>
    <x v="9"/>
    <x v="1"/>
  </r>
  <r>
    <x v="1791"/>
    <x v="0"/>
    <x v="12"/>
    <n v="10.9"/>
    <n v="43.6"/>
    <x v="65"/>
    <d v="2025-03-08T00:00:00"/>
    <x v="1"/>
    <x v="2"/>
    <x v="0"/>
    <x v="0"/>
    <x v="3"/>
    <x v="3"/>
    <x v="9"/>
    <x v="1"/>
  </r>
  <r>
    <x v="1792"/>
    <x v="16"/>
    <x v="2"/>
    <n v="48"/>
    <n v="144"/>
    <x v="65"/>
    <d v="2025-03-12T00:00:00"/>
    <x v="2"/>
    <x v="4"/>
    <x v="0"/>
    <x v="0"/>
    <x v="3"/>
    <x v="0"/>
    <x v="9"/>
    <x v="2"/>
  </r>
  <r>
    <x v="1793"/>
    <x v="5"/>
    <x v="1"/>
    <n v="67.900000000000006"/>
    <n v="135.80000000000001"/>
    <x v="65"/>
    <d v="2025-03-08T00:00:00"/>
    <x v="1"/>
    <x v="0"/>
    <x v="2"/>
    <x v="0"/>
    <x v="23"/>
    <x v="3"/>
    <x v="9"/>
    <x v="1"/>
  </r>
  <r>
    <x v="1794"/>
    <x v="4"/>
    <x v="2"/>
    <n v="36"/>
    <n v="108"/>
    <x v="65"/>
    <d v="2025-03-08T00:00:00"/>
    <x v="1"/>
    <x v="1"/>
    <x v="0"/>
    <x v="0"/>
    <x v="6"/>
    <x v="3"/>
    <x v="9"/>
    <x v="1"/>
  </r>
  <r>
    <x v="1795"/>
    <x v="2"/>
    <x v="0"/>
    <n v="128.80000000000001"/>
    <n v="128.80000000000001"/>
    <x v="65"/>
    <d v="2025-03-08T00:00:00"/>
    <x v="1"/>
    <x v="4"/>
    <x v="2"/>
    <x v="0"/>
    <x v="6"/>
    <x v="3"/>
    <x v="9"/>
    <x v="1"/>
  </r>
  <r>
    <x v="1796"/>
    <x v="18"/>
    <x v="3"/>
    <n v="33.299999999999997"/>
    <n v="233.09999999999997"/>
    <x v="65"/>
    <d v="2025-03-08T00:00:00"/>
    <x v="2"/>
    <x v="3"/>
    <x v="0"/>
    <x v="0"/>
    <x v="8"/>
    <x v="3"/>
    <x v="9"/>
    <x v="2"/>
  </r>
  <r>
    <x v="1797"/>
    <x v="10"/>
    <x v="2"/>
    <n v="37.799999999999997"/>
    <n v="113.39999999999999"/>
    <x v="65"/>
    <d v="2025-03-09T00:00:00"/>
    <x v="1"/>
    <x v="1"/>
    <x v="2"/>
    <x v="0"/>
    <x v="8"/>
    <x v="1"/>
    <x v="9"/>
    <x v="1"/>
  </r>
  <r>
    <x v="1798"/>
    <x v="5"/>
    <x v="2"/>
    <n v="26"/>
    <n v="78"/>
    <x v="65"/>
    <d v="2025-03-12T00:00:00"/>
    <x v="2"/>
    <x v="0"/>
    <x v="0"/>
    <x v="0"/>
    <x v="8"/>
    <x v="0"/>
    <x v="9"/>
    <x v="2"/>
  </r>
  <r>
    <x v="1799"/>
    <x v="8"/>
    <x v="10"/>
    <n v="28.3"/>
    <n v="537.70000000000005"/>
    <x v="65"/>
    <d v="2025-03-08T00:00:00"/>
    <x v="2"/>
    <x v="3"/>
    <x v="4"/>
    <x v="0"/>
    <x v="8"/>
    <x v="3"/>
    <x v="9"/>
    <x v="2"/>
  </r>
  <r>
    <x v="1800"/>
    <x v="8"/>
    <x v="12"/>
    <n v="31.3"/>
    <n v="125.2"/>
    <x v="65"/>
    <d v="2025-03-07T00:00:00"/>
    <x v="2"/>
    <x v="0"/>
    <x v="0"/>
    <x v="0"/>
    <x v="8"/>
    <x v="7"/>
    <x v="9"/>
    <x v="2"/>
  </r>
  <r>
    <x v="1801"/>
    <x v="7"/>
    <x v="2"/>
    <n v="69.5"/>
    <n v="208.5"/>
    <x v="65"/>
    <d v="2025-03-08T00:00:00"/>
    <x v="2"/>
    <x v="3"/>
    <x v="2"/>
    <x v="0"/>
    <x v="8"/>
    <x v="3"/>
    <x v="9"/>
    <x v="2"/>
  </r>
  <r>
    <x v="1802"/>
    <x v="0"/>
    <x v="1"/>
    <n v="16.7"/>
    <n v="33.4"/>
    <x v="65"/>
    <d v="2025-03-08T00:00:00"/>
    <x v="2"/>
    <x v="3"/>
    <x v="1"/>
    <x v="0"/>
    <x v="8"/>
    <x v="3"/>
    <x v="9"/>
    <x v="2"/>
  </r>
  <r>
    <x v="1803"/>
    <x v="9"/>
    <x v="1"/>
    <n v="62.6"/>
    <n v="125.2"/>
    <x v="65"/>
    <d v="2025-03-08T00:00:00"/>
    <x v="1"/>
    <x v="2"/>
    <x v="2"/>
    <x v="0"/>
    <x v="9"/>
    <x v="3"/>
    <x v="9"/>
    <x v="1"/>
  </r>
  <r>
    <x v="1804"/>
    <x v="7"/>
    <x v="0"/>
    <n v="81.2"/>
    <n v="81.2"/>
    <x v="65"/>
    <d v="2025-03-13T00:00:00"/>
    <x v="1"/>
    <x v="4"/>
    <x v="4"/>
    <x v="0"/>
    <x v="9"/>
    <x v="4"/>
    <x v="9"/>
    <x v="1"/>
  </r>
  <r>
    <x v="1805"/>
    <x v="0"/>
    <x v="7"/>
    <n v="12.7"/>
    <n v="127"/>
    <x v="65"/>
    <d v="2025-03-08T00:00:00"/>
    <x v="2"/>
    <x v="0"/>
    <x v="2"/>
    <x v="0"/>
    <x v="9"/>
    <x v="3"/>
    <x v="9"/>
    <x v="2"/>
  </r>
  <r>
    <x v="1806"/>
    <x v="7"/>
    <x v="12"/>
    <n v="77.7"/>
    <n v="310.8"/>
    <x v="66"/>
    <d v="2025-03-12T00:00:00"/>
    <x v="1"/>
    <x v="1"/>
    <x v="0"/>
    <x v="0"/>
    <x v="11"/>
    <x v="5"/>
    <x v="9"/>
    <x v="1"/>
  </r>
  <r>
    <x v="1807"/>
    <x v="5"/>
    <x v="1"/>
    <n v="37.299999999999997"/>
    <n v="74.599999999999994"/>
    <x v="66"/>
    <d v="2025-03-09T00:00:00"/>
    <x v="2"/>
    <x v="0"/>
    <x v="2"/>
    <x v="0"/>
    <x v="18"/>
    <x v="3"/>
    <x v="9"/>
    <x v="2"/>
  </r>
  <r>
    <x v="1808"/>
    <x v="10"/>
    <x v="12"/>
    <n v="35.6"/>
    <n v="142.4"/>
    <x v="66"/>
    <d v="2025-03-10T00:00:00"/>
    <x v="2"/>
    <x v="1"/>
    <x v="1"/>
    <x v="0"/>
    <x v="19"/>
    <x v="1"/>
    <x v="9"/>
    <x v="2"/>
  </r>
  <r>
    <x v="1809"/>
    <x v="2"/>
    <x v="2"/>
    <n v="95"/>
    <n v="285"/>
    <x v="66"/>
    <d v="2025-03-12T00:00:00"/>
    <x v="2"/>
    <x v="2"/>
    <x v="2"/>
    <x v="0"/>
    <x v="56"/>
    <x v="5"/>
    <x v="9"/>
    <x v="2"/>
  </r>
  <r>
    <x v="1810"/>
    <x v="2"/>
    <x v="12"/>
    <n v="172.1"/>
    <n v="688.4"/>
    <x v="66"/>
    <d v="2025-03-12T00:00:00"/>
    <x v="3"/>
    <x v="2"/>
    <x v="2"/>
    <x v="0"/>
    <x v="21"/>
    <x v="5"/>
    <x v="9"/>
    <x v="3"/>
  </r>
  <r>
    <x v="1811"/>
    <x v="2"/>
    <x v="1"/>
    <n v="233"/>
    <n v="466"/>
    <x v="66"/>
    <d v="2025-03-11T00:00:00"/>
    <x v="2"/>
    <x v="1"/>
    <x v="0"/>
    <x v="0"/>
    <x v="21"/>
    <x v="2"/>
    <x v="9"/>
    <x v="2"/>
  </r>
  <r>
    <x v="1812"/>
    <x v="0"/>
    <x v="0"/>
    <n v="43.5"/>
    <n v="43.5"/>
    <x v="66"/>
    <d v="2025-03-09T00:00:00"/>
    <x v="2"/>
    <x v="2"/>
    <x v="2"/>
    <x v="0"/>
    <x v="21"/>
    <x v="3"/>
    <x v="9"/>
    <x v="2"/>
  </r>
  <r>
    <x v="1813"/>
    <x v="9"/>
    <x v="1"/>
    <n v="47.8"/>
    <n v="95.6"/>
    <x v="66"/>
    <d v="2025-03-11T00:00:00"/>
    <x v="1"/>
    <x v="4"/>
    <x v="2"/>
    <x v="0"/>
    <x v="1"/>
    <x v="2"/>
    <x v="9"/>
    <x v="1"/>
  </r>
  <r>
    <x v="1814"/>
    <x v="12"/>
    <x v="1"/>
    <n v="65.8"/>
    <n v="131.6"/>
    <x v="66"/>
    <d v="2025-03-10T00:00:00"/>
    <x v="2"/>
    <x v="0"/>
    <x v="3"/>
    <x v="0"/>
    <x v="33"/>
    <x v="1"/>
    <x v="9"/>
    <x v="2"/>
  </r>
  <r>
    <x v="1815"/>
    <x v="15"/>
    <x v="5"/>
    <n v="38.700000000000003"/>
    <n v="425.70000000000005"/>
    <x v="66"/>
    <d v="2025-03-08T00:00:00"/>
    <x v="1"/>
    <x v="0"/>
    <x v="0"/>
    <x v="0"/>
    <x v="22"/>
    <x v="7"/>
    <x v="9"/>
    <x v="1"/>
  </r>
  <r>
    <x v="1816"/>
    <x v="3"/>
    <x v="12"/>
    <n v="55.7"/>
    <n v="222.8"/>
    <x v="66"/>
    <d v="2025-03-10T00:00:00"/>
    <x v="3"/>
    <x v="0"/>
    <x v="1"/>
    <x v="0"/>
    <x v="22"/>
    <x v="1"/>
    <x v="9"/>
    <x v="3"/>
  </r>
  <r>
    <x v="1817"/>
    <x v="7"/>
    <x v="1"/>
    <n v="102.4"/>
    <n v="204.8"/>
    <x v="66"/>
    <d v="2025-03-08T00:00:00"/>
    <x v="2"/>
    <x v="1"/>
    <x v="0"/>
    <x v="0"/>
    <x v="3"/>
    <x v="7"/>
    <x v="9"/>
    <x v="2"/>
  </r>
  <r>
    <x v="1818"/>
    <x v="1"/>
    <x v="0"/>
    <n v="92"/>
    <n v="92"/>
    <x v="66"/>
    <d v="2025-03-12T00:00:00"/>
    <x v="0"/>
    <x v="2"/>
    <x v="0"/>
    <x v="0"/>
    <x v="3"/>
    <x v="5"/>
    <x v="9"/>
    <x v="0"/>
  </r>
  <r>
    <x v="1819"/>
    <x v="6"/>
    <x v="12"/>
    <n v="75.900000000000006"/>
    <n v="303.60000000000002"/>
    <x v="66"/>
    <d v="2025-03-10T00:00:00"/>
    <x v="2"/>
    <x v="1"/>
    <x v="0"/>
    <x v="0"/>
    <x v="3"/>
    <x v="1"/>
    <x v="9"/>
    <x v="2"/>
  </r>
  <r>
    <x v="1820"/>
    <x v="1"/>
    <x v="12"/>
    <n v="36.200000000000003"/>
    <n v="144.80000000000001"/>
    <x v="66"/>
    <d v="2025-03-09T00:00:00"/>
    <x v="2"/>
    <x v="1"/>
    <x v="0"/>
    <x v="0"/>
    <x v="3"/>
    <x v="3"/>
    <x v="9"/>
    <x v="2"/>
  </r>
  <r>
    <x v="1821"/>
    <x v="6"/>
    <x v="45"/>
    <n v="83.5"/>
    <n v="7264.5"/>
    <x v="66"/>
    <d v="2025-03-10T00:00:00"/>
    <x v="0"/>
    <x v="3"/>
    <x v="0"/>
    <x v="0"/>
    <x v="3"/>
    <x v="1"/>
    <x v="9"/>
    <x v="0"/>
  </r>
  <r>
    <x v="1822"/>
    <x v="19"/>
    <x v="4"/>
    <n v="52.4"/>
    <n v="628.79999999999995"/>
    <x v="66"/>
    <d v="2025-03-08T00:00:00"/>
    <x v="1"/>
    <x v="2"/>
    <x v="0"/>
    <x v="0"/>
    <x v="3"/>
    <x v="7"/>
    <x v="9"/>
    <x v="1"/>
  </r>
  <r>
    <x v="1823"/>
    <x v="12"/>
    <x v="2"/>
    <n v="69.5"/>
    <n v="208.5"/>
    <x v="66"/>
    <d v="2025-03-09T00:00:00"/>
    <x v="3"/>
    <x v="4"/>
    <x v="0"/>
    <x v="0"/>
    <x v="3"/>
    <x v="3"/>
    <x v="9"/>
    <x v="3"/>
  </r>
  <r>
    <x v="1824"/>
    <x v="0"/>
    <x v="0"/>
    <n v="15.5"/>
    <n v="15.5"/>
    <x v="66"/>
    <d v="2025-03-10T00:00:00"/>
    <x v="1"/>
    <x v="0"/>
    <x v="0"/>
    <x v="0"/>
    <x v="3"/>
    <x v="1"/>
    <x v="9"/>
    <x v="1"/>
  </r>
  <r>
    <x v="1825"/>
    <x v="4"/>
    <x v="12"/>
    <n v="35.200000000000003"/>
    <n v="140.80000000000001"/>
    <x v="66"/>
    <d v="2025-03-09T00:00:00"/>
    <x v="2"/>
    <x v="2"/>
    <x v="2"/>
    <x v="0"/>
    <x v="3"/>
    <x v="3"/>
    <x v="9"/>
    <x v="2"/>
  </r>
  <r>
    <x v="1826"/>
    <x v="8"/>
    <x v="13"/>
    <n v="34.6"/>
    <n v="207.60000000000002"/>
    <x v="66"/>
    <d v="2025-03-09T00:00:00"/>
    <x v="0"/>
    <x v="0"/>
    <x v="1"/>
    <x v="0"/>
    <x v="3"/>
    <x v="3"/>
    <x v="9"/>
    <x v="0"/>
  </r>
  <r>
    <x v="1827"/>
    <x v="4"/>
    <x v="0"/>
    <n v="21.3"/>
    <n v="21.3"/>
    <x v="67"/>
    <d v="2025-03-10T00:00:00"/>
    <x v="1"/>
    <x v="2"/>
    <x v="1"/>
    <x v="0"/>
    <x v="3"/>
    <x v="3"/>
    <x v="10"/>
    <x v="1"/>
  </r>
  <r>
    <x v="1828"/>
    <x v="6"/>
    <x v="1"/>
    <n v="136.5"/>
    <n v="273"/>
    <x v="67"/>
    <d v="2025-03-15T00:00:00"/>
    <x v="2"/>
    <x v="0"/>
    <x v="0"/>
    <x v="0"/>
    <x v="37"/>
    <x v="4"/>
    <x v="10"/>
    <x v="2"/>
  </r>
  <r>
    <x v="1829"/>
    <x v="9"/>
    <x v="3"/>
    <n v="30.7"/>
    <n v="214.9"/>
    <x v="67"/>
    <d v="2025-03-10T00:00:00"/>
    <x v="1"/>
    <x v="2"/>
    <x v="2"/>
    <x v="0"/>
    <x v="25"/>
    <x v="3"/>
    <x v="10"/>
    <x v="1"/>
  </r>
  <r>
    <x v="1830"/>
    <x v="1"/>
    <x v="1"/>
    <n v="61.6"/>
    <n v="123.2"/>
    <x v="67"/>
    <d v="2025-03-10T00:00:00"/>
    <x v="2"/>
    <x v="2"/>
    <x v="2"/>
    <x v="0"/>
    <x v="23"/>
    <x v="3"/>
    <x v="10"/>
    <x v="2"/>
  </r>
  <r>
    <x v="1831"/>
    <x v="6"/>
    <x v="12"/>
    <n v="54.3"/>
    <n v="217.2"/>
    <x v="67"/>
    <d v="2025-03-11T00:00:00"/>
    <x v="0"/>
    <x v="4"/>
    <x v="0"/>
    <x v="0"/>
    <x v="7"/>
    <x v="1"/>
    <x v="10"/>
    <x v="0"/>
  </r>
  <r>
    <x v="1832"/>
    <x v="1"/>
    <x v="1"/>
    <n v="44.1"/>
    <n v="88.2"/>
    <x v="67"/>
    <d v="2025-03-21T00:00:00"/>
    <x v="2"/>
    <x v="0"/>
    <x v="2"/>
    <x v="0"/>
    <x v="8"/>
    <x v="13"/>
    <x v="10"/>
    <x v="2"/>
  </r>
  <r>
    <x v="1833"/>
    <x v="8"/>
    <x v="12"/>
    <n v="43.5"/>
    <n v="174"/>
    <x v="67"/>
    <d v="2025-03-15T00:00:00"/>
    <x v="1"/>
    <x v="3"/>
    <x v="0"/>
    <x v="0"/>
    <x v="8"/>
    <x v="4"/>
    <x v="10"/>
    <x v="1"/>
  </r>
  <r>
    <x v="1834"/>
    <x v="8"/>
    <x v="2"/>
    <n v="48.2"/>
    <n v="144.60000000000002"/>
    <x v="67"/>
    <d v="2025-03-13T00:00:00"/>
    <x v="1"/>
    <x v="3"/>
    <x v="1"/>
    <x v="0"/>
    <x v="8"/>
    <x v="5"/>
    <x v="10"/>
    <x v="1"/>
  </r>
  <r>
    <x v="1835"/>
    <x v="19"/>
    <x v="0"/>
    <n v="13.7"/>
    <n v="13.7"/>
    <x v="67"/>
    <d v="2025-03-10T00:00:00"/>
    <x v="2"/>
    <x v="2"/>
    <x v="2"/>
    <x v="0"/>
    <x v="8"/>
    <x v="3"/>
    <x v="10"/>
    <x v="2"/>
  </r>
  <r>
    <x v="1836"/>
    <x v="2"/>
    <x v="1"/>
    <n v="110.5"/>
    <n v="221"/>
    <x v="67"/>
    <d v="2025-03-10T00:00:00"/>
    <x v="2"/>
    <x v="0"/>
    <x v="1"/>
    <x v="0"/>
    <x v="8"/>
    <x v="3"/>
    <x v="10"/>
    <x v="2"/>
  </r>
  <r>
    <x v="1837"/>
    <x v="8"/>
    <x v="2"/>
    <n v="26"/>
    <n v="78"/>
    <x v="67"/>
    <d v="2025-03-14T00:00:00"/>
    <x v="2"/>
    <x v="1"/>
    <x v="1"/>
    <x v="0"/>
    <x v="8"/>
    <x v="0"/>
    <x v="10"/>
    <x v="2"/>
  </r>
  <r>
    <x v="1838"/>
    <x v="2"/>
    <x v="7"/>
    <n v="140.69999999999999"/>
    <n v="1407"/>
    <x v="67"/>
    <d v="2025-03-15T00:00:00"/>
    <x v="1"/>
    <x v="3"/>
    <x v="1"/>
    <x v="0"/>
    <x v="8"/>
    <x v="4"/>
    <x v="10"/>
    <x v="1"/>
  </r>
  <r>
    <x v="1839"/>
    <x v="17"/>
    <x v="1"/>
    <n v="41.7"/>
    <n v="83.4"/>
    <x v="67"/>
    <d v="2025-03-17T00:00:00"/>
    <x v="2"/>
    <x v="0"/>
    <x v="4"/>
    <x v="0"/>
    <x v="8"/>
    <x v="9"/>
    <x v="10"/>
    <x v="2"/>
  </r>
  <r>
    <x v="1840"/>
    <x v="2"/>
    <x v="1"/>
    <n v="135.1"/>
    <n v="270.2"/>
    <x v="67"/>
    <d v="2025-03-10T00:00:00"/>
    <x v="1"/>
    <x v="0"/>
    <x v="2"/>
    <x v="0"/>
    <x v="17"/>
    <x v="3"/>
    <x v="10"/>
    <x v="1"/>
  </r>
  <r>
    <x v="1841"/>
    <x v="12"/>
    <x v="32"/>
    <n v="95.5"/>
    <n v="2101"/>
    <x v="67"/>
    <d v="2025-03-10T00:00:00"/>
    <x v="2"/>
    <x v="4"/>
    <x v="4"/>
    <x v="0"/>
    <x v="26"/>
    <x v="3"/>
    <x v="10"/>
    <x v="2"/>
  </r>
  <r>
    <x v="1842"/>
    <x v="15"/>
    <x v="0"/>
    <n v="25.5"/>
    <n v="25.5"/>
    <x v="67"/>
    <d v="2025-03-12T00:00:00"/>
    <x v="0"/>
    <x v="2"/>
    <x v="2"/>
    <x v="0"/>
    <x v="11"/>
    <x v="2"/>
    <x v="10"/>
    <x v="0"/>
  </r>
  <r>
    <x v="1843"/>
    <x v="1"/>
    <x v="0"/>
    <n v="42.6"/>
    <n v="42.6"/>
    <x v="67"/>
    <d v="2025-03-13T00:00:00"/>
    <x v="2"/>
    <x v="0"/>
    <x v="0"/>
    <x v="0"/>
    <x v="11"/>
    <x v="5"/>
    <x v="10"/>
    <x v="2"/>
  </r>
  <r>
    <x v="1844"/>
    <x v="8"/>
    <x v="20"/>
    <n v="32.4"/>
    <n v="486"/>
    <x v="67"/>
    <d v="2025-03-10T00:00:00"/>
    <x v="1"/>
    <x v="1"/>
    <x v="1"/>
    <x v="0"/>
    <x v="11"/>
    <x v="3"/>
    <x v="10"/>
    <x v="1"/>
  </r>
  <r>
    <x v="1845"/>
    <x v="4"/>
    <x v="12"/>
    <n v="20.2"/>
    <n v="80.8"/>
    <x v="67"/>
    <d v="2025-03-10T00:00:00"/>
    <x v="3"/>
    <x v="2"/>
    <x v="0"/>
    <x v="0"/>
    <x v="11"/>
    <x v="3"/>
    <x v="10"/>
    <x v="3"/>
  </r>
  <r>
    <x v="1846"/>
    <x v="16"/>
    <x v="2"/>
    <n v="52.5"/>
    <n v="157.5"/>
    <x v="67"/>
    <d v="2025-03-14T00:00:00"/>
    <x v="2"/>
    <x v="4"/>
    <x v="0"/>
    <x v="0"/>
    <x v="18"/>
    <x v="0"/>
    <x v="10"/>
    <x v="2"/>
  </r>
  <r>
    <x v="1847"/>
    <x v="2"/>
    <x v="9"/>
    <n v="59.9"/>
    <n v="299.5"/>
    <x v="67"/>
    <d v="2025-03-11T00:00:00"/>
    <x v="2"/>
    <x v="2"/>
    <x v="0"/>
    <x v="0"/>
    <x v="19"/>
    <x v="1"/>
    <x v="10"/>
    <x v="2"/>
  </r>
  <r>
    <x v="1848"/>
    <x v="4"/>
    <x v="1"/>
    <n v="53.2"/>
    <n v="106.4"/>
    <x v="67"/>
    <d v="2025-03-10T00:00:00"/>
    <x v="2"/>
    <x v="1"/>
    <x v="3"/>
    <x v="0"/>
    <x v="20"/>
    <x v="3"/>
    <x v="10"/>
    <x v="2"/>
  </r>
  <r>
    <x v="1849"/>
    <x v="2"/>
    <x v="1"/>
    <n v="60"/>
    <n v="120"/>
    <x v="67"/>
    <d v="2025-03-15T00:00:00"/>
    <x v="1"/>
    <x v="1"/>
    <x v="2"/>
    <x v="0"/>
    <x v="20"/>
    <x v="4"/>
    <x v="10"/>
    <x v="1"/>
  </r>
  <r>
    <x v="1850"/>
    <x v="8"/>
    <x v="2"/>
    <n v="29.3"/>
    <n v="87.9"/>
    <x v="67"/>
    <d v="2025-03-10T00:00:00"/>
    <x v="2"/>
    <x v="4"/>
    <x v="0"/>
    <x v="0"/>
    <x v="13"/>
    <x v="3"/>
    <x v="10"/>
    <x v="2"/>
  </r>
  <r>
    <x v="1851"/>
    <x v="12"/>
    <x v="1"/>
    <n v="55.4"/>
    <n v="110.8"/>
    <x v="67"/>
    <d v="2025-03-10T00:00:00"/>
    <x v="2"/>
    <x v="0"/>
    <x v="2"/>
    <x v="0"/>
    <x v="21"/>
    <x v="3"/>
    <x v="10"/>
    <x v="2"/>
  </r>
  <r>
    <x v="1852"/>
    <x v="0"/>
    <x v="9"/>
    <n v="20.100000000000001"/>
    <n v="100.5"/>
    <x v="67"/>
    <d v="2025-03-11T00:00:00"/>
    <x v="2"/>
    <x v="1"/>
    <x v="2"/>
    <x v="0"/>
    <x v="21"/>
    <x v="1"/>
    <x v="10"/>
    <x v="2"/>
  </r>
  <r>
    <x v="1853"/>
    <x v="14"/>
    <x v="9"/>
    <n v="24"/>
    <n v="120"/>
    <x v="67"/>
    <d v="2025-03-12T00:00:00"/>
    <x v="1"/>
    <x v="2"/>
    <x v="0"/>
    <x v="0"/>
    <x v="1"/>
    <x v="2"/>
    <x v="10"/>
    <x v="1"/>
  </r>
  <r>
    <x v="1854"/>
    <x v="8"/>
    <x v="1"/>
    <n v="30.6"/>
    <n v="61.2"/>
    <x v="68"/>
    <d v="2025-03-12T00:00:00"/>
    <x v="2"/>
    <x v="0"/>
    <x v="0"/>
    <x v="0"/>
    <x v="1"/>
    <x v="1"/>
    <x v="10"/>
    <x v="2"/>
  </r>
  <r>
    <x v="1855"/>
    <x v="10"/>
    <x v="9"/>
    <n v="33"/>
    <n v="165"/>
    <x v="68"/>
    <d v="2025-03-11T00:00:00"/>
    <x v="1"/>
    <x v="1"/>
    <x v="1"/>
    <x v="0"/>
    <x v="27"/>
    <x v="3"/>
    <x v="10"/>
    <x v="1"/>
  </r>
  <r>
    <x v="1856"/>
    <x v="17"/>
    <x v="11"/>
    <n v="42.1"/>
    <n v="378.90000000000003"/>
    <x v="68"/>
    <d v="2025-03-16T00:00:00"/>
    <x v="2"/>
    <x v="2"/>
    <x v="0"/>
    <x v="0"/>
    <x v="44"/>
    <x v="4"/>
    <x v="10"/>
    <x v="2"/>
  </r>
  <r>
    <x v="1857"/>
    <x v="6"/>
    <x v="3"/>
    <n v="77.7"/>
    <n v="543.9"/>
    <x v="68"/>
    <d v="2025-03-15T00:00:00"/>
    <x v="2"/>
    <x v="1"/>
    <x v="2"/>
    <x v="0"/>
    <x v="50"/>
    <x v="0"/>
    <x v="10"/>
    <x v="2"/>
  </r>
  <r>
    <x v="1858"/>
    <x v="17"/>
    <x v="13"/>
    <n v="22.7"/>
    <n v="136.19999999999999"/>
    <x v="68"/>
    <d v="2025-03-13T00:00:00"/>
    <x v="2"/>
    <x v="2"/>
    <x v="0"/>
    <x v="0"/>
    <x v="3"/>
    <x v="2"/>
    <x v="10"/>
    <x v="2"/>
  </r>
  <r>
    <x v="1859"/>
    <x v="2"/>
    <x v="1"/>
    <n v="133"/>
    <n v="266"/>
    <x v="68"/>
    <d v="2025-03-10T00:00:00"/>
    <x v="1"/>
    <x v="2"/>
    <x v="2"/>
    <x v="0"/>
    <x v="3"/>
    <x v="7"/>
    <x v="10"/>
    <x v="1"/>
  </r>
  <r>
    <x v="1860"/>
    <x v="0"/>
    <x v="1"/>
    <n v="23.3"/>
    <n v="46.6"/>
    <x v="68"/>
    <d v="2025-03-11T00:00:00"/>
    <x v="1"/>
    <x v="1"/>
    <x v="2"/>
    <x v="0"/>
    <x v="3"/>
    <x v="3"/>
    <x v="10"/>
    <x v="1"/>
  </r>
  <r>
    <x v="1861"/>
    <x v="8"/>
    <x v="2"/>
    <n v="20.7"/>
    <n v="62.099999999999994"/>
    <x v="68"/>
    <d v="2025-03-12T00:00:00"/>
    <x v="3"/>
    <x v="0"/>
    <x v="2"/>
    <x v="0"/>
    <x v="3"/>
    <x v="1"/>
    <x v="10"/>
    <x v="3"/>
  </r>
  <r>
    <x v="1862"/>
    <x v="12"/>
    <x v="1"/>
    <n v="47"/>
    <n v="94"/>
    <x v="68"/>
    <d v="2025-03-11T00:00:00"/>
    <x v="1"/>
    <x v="1"/>
    <x v="2"/>
    <x v="0"/>
    <x v="3"/>
    <x v="3"/>
    <x v="10"/>
    <x v="1"/>
  </r>
  <r>
    <x v="1863"/>
    <x v="12"/>
    <x v="2"/>
    <n v="38.200000000000003"/>
    <n v="114.60000000000001"/>
    <x v="68"/>
    <d v="2025-03-12T00:00:00"/>
    <x v="2"/>
    <x v="2"/>
    <x v="4"/>
    <x v="0"/>
    <x v="3"/>
    <x v="1"/>
    <x v="10"/>
    <x v="2"/>
  </r>
  <r>
    <x v="1864"/>
    <x v="9"/>
    <x v="0"/>
    <n v="39.1"/>
    <n v="39.1"/>
    <x v="68"/>
    <d v="2025-03-12T00:00:00"/>
    <x v="2"/>
    <x v="0"/>
    <x v="0"/>
    <x v="0"/>
    <x v="3"/>
    <x v="1"/>
    <x v="10"/>
    <x v="2"/>
  </r>
  <r>
    <x v="1865"/>
    <x v="7"/>
    <x v="30"/>
    <n v="55.6"/>
    <n v="1390"/>
    <x v="68"/>
    <d v="2025-03-12T00:00:00"/>
    <x v="1"/>
    <x v="0"/>
    <x v="2"/>
    <x v="0"/>
    <x v="3"/>
    <x v="1"/>
    <x v="10"/>
    <x v="1"/>
  </r>
  <r>
    <x v="1866"/>
    <x v="15"/>
    <x v="0"/>
    <n v="43.1"/>
    <n v="43.1"/>
    <x v="68"/>
    <d v="2025-03-10T00:00:00"/>
    <x v="3"/>
    <x v="1"/>
    <x v="2"/>
    <x v="0"/>
    <x v="3"/>
    <x v="7"/>
    <x v="10"/>
    <x v="3"/>
  </r>
  <r>
    <x v="1867"/>
    <x v="6"/>
    <x v="12"/>
    <n v="48.1"/>
    <n v="192.4"/>
    <x v="68"/>
    <d v="2025-03-11T00:00:00"/>
    <x v="2"/>
    <x v="4"/>
    <x v="2"/>
    <x v="0"/>
    <x v="3"/>
    <x v="3"/>
    <x v="10"/>
    <x v="2"/>
  </r>
  <r>
    <x v="1868"/>
    <x v="4"/>
    <x v="0"/>
    <n v="42"/>
    <n v="42"/>
    <x v="68"/>
    <d v="2025-03-11T00:00:00"/>
    <x v="3"/>
    <x v="0"/>
    <x v="0"/>
    <x v="0"/>
    <x v="3"/>
    <x v="3"/>
    <x v="10"/>
    <x v="3"/>
  </r>
  <r>
    <x v="1869"/>
    <x v="8"/>
    <x v="9"/>
    <n v="18.3"/>
    <n v="91.5"/>
    <x v="68"/>
    <d v="2025-03-10T00:00:00"/>
    <x v="2"/>
    <x v="2"/>
    <x v="0"/>
    <x v="0"/>
    <x v="3"/>
    <x v="7"/>
    <x v="10"/>
    <x v="2"/>
  </r>
  <r>
    <x v="1870"/>
    <x v="10"/>
    <x v="12"/>
    <n v="45.3"/>
    <n v="181.2"/>
    <x v="68"/>
    <d v="2025-03-13T00:00:00"/>
    <x v="2"/>
    <x v="0"/>
    <x v="2"/>
    <x v="0"/>
    <x v="3"/>
    <x v="2"/>
    <x v="10"/>
    <x v="2"/>
  </r>
  <r>
    <x v="1871"/>
    <x v="0"/>
    <x v="1"/>
    <n v="27.6"/>
    <n v="55.2"/>
    <x v="68"/>
    <d v="2025-03-12T00:00:00"/>
    <x v="1"/>
    <x v="0"/>
    <x v="2"/>
    <x v="0"/>
    <x v="37"/>
    <x v="1"/>
    <x v="10"/>
    <x v="1"/>
  </r>
  <r>
    <x v="1872"/>
    <x v="4"/>
    <x v="9"/>
    <n v="26.9"/>
    <n v="134.5"/>
    <x v="68"/>
    <d v="2025-03-11T00:00:00"/>
    <x v="2"/>
    <x v="2"/>
    <x v="0"/>
    <x v="0"/>
    <x v="25"/>
    <x v="3"/>
    <x v="10"/>
    <x v="2"/>
  </r>
  <r>
    <x v="1873"/>
    <x v="2"/>
    <x v="11"/>
    <n v="82.4"/>
    <n v="741.6"/>
    <x v="68"/>
    <d v="2025-03-12T00:00:00"/>
    <x v="3"/>
    <x v="2"/>
    <x v="0"/>
    <x v="0"/>
    <x v="5"/>
    <x v="1"/>
    <x v="10"/>
    <x v="3"/>
  </r>
  <r>
    <x v="1874"/>
    <x v="6"/>
    <x v="0"/>
    <n v="103.7"/>
    <n v="103.7"/>
    <x v="68"/>
    <d v="2025-03-12T00:00:00"/>
    <x v="2"/>
    <x v="1"/>
    <x v="0"/>
    <x v="0"/>
    <x v="5"/>
    <x v="1"/>
    <x v="10"/>
    <x v="2"/>
  </r>
  <r>
    <x v="1875"/>
    <x v="2"/>
    <x v="1"/>
    <n v="58.8"/>
    <n v="117.6"/>
    <x v="68"/>
    <d v="2025-03-15T00:00:00"/>
    <x v="2"/>
    <x v="1"/>
    <x v="2"/>
    <x v="0"/>
    <x v="6"/>
    <x v="0"/>
    <x v="10"/>
    <x v="2"/>
  </r>
  <r>
    <x v="1876"/>
    <x v="13"/>
    <x v="0"/>
    <n v="31.5"/>
    <n v="31.5"/>
    <x v="68"/>
    <d v="2025-03-11T00:00:00"/>
    <x v="2"/>
    <x v="1"/>
    <x v="1"/>
    <x v="0"/>
    <x v="6"/>
    <x v="3"/>
    <x v="10"/>
    <x v="2"/>
  </r>
  <r>
    <x v="1877"/>
    <x v="7"/>
    <x v="9"/>
    <n v="36.799999999999997"/>
    <n v="184"/>
    <x v="68"/>
    <d v="2025-03-12T00:00:00"/>
    <x v="2"/>
    <x v="0"/>
    <x v="0"/>
    <x v="0"/>
    <x v="8"/>
    <x v="1"/>
    <x v="10"/>
    <x v="2"/>
  </r>
  <r>
    <x v="1878"/>
    <x v="3"/>
    <x v="0"/>
    <n v="84.4"/>
    <n v="84.4"/>
    <x v="68"/>
    <d v="2025-03-11T00:00:00"/>
    <x v="2"/>
    <x v="0"/>
    <x v="0"/>
    <x v="0"/>
    <x v="8"/>
    <x v="3"/>
    <x v="10"/>
    <x v="2"/>
  </r>
  <r>
    <x v="1879"/>
    <x v="14"/>
    <x v="0"/>
    <n v="44.7"/>
    <n v="44.7"/>
    <x v="68"/>
    <d v="2025-03-11T00:00:00"/>
    <x v="1"/>
    <x v="0"/>
    <x v="1"/>
    <x v="0"/>
    <x v="8"/>
    <x v="3"/>
    <x v="10"/>
    <x v="1"/>
  </r>
  <r>
    <x v="1880"/>
    <x v="9"/>
    <x v="8"/>
    <n v="39.4"/>
    <n v="315.2"/>
    <x v="68"/>
    <d v="2025-03-11T00:00:00"/>
    <x v="2"/>
    <x v="1"/>
    <x v="2"/>
    <x v="0"/>
    <x v="8"/>
    <x v="3"/>
    <x v="10"/>
    <x v="2"/>
  </r>
  <r>
    <x v="1881"/>
    <x v="11"/>
    <x v="12"/>
    <n v="34.9"/>
    <n v="139.6"/>
    <x v="68"/>
    <d v="2025-03-12T00:00:00"/>
    <x v="2"/>
    <x v="0"/>
    <x v="2"/>
    <x v="0"/>
    <x v="8"/>
    <x v="1"/>
    <x v="10"/>
    <x v="2"/>
  </r>
  <r>
    <x v="1882"/>
    <x v="1"/>
    <x v="2"/>
    <n v="62.3"/>
    <n v="186.89999999999998"/>
    <x v="68"/>
    <d v="2025-03-12T00:00:00"/>
    <x v="1"/>
    <x v="4"/>
    <x v="2"/>
    <x v="0"/>
    <x v="8"/>
    <x v="1"/>
    <x v="10"/>
    <x v="1"/>
  </r>
  <r>
    <x v="1883"/>
    <x v="8"/>
    <x v="12"/>
    <n v="21.1"/>
    <n v="84.4"/>
    <x v="68"/>
    <d v="2025-03-13T00:00:00"/>
    <x v="1"/>
    <x v="3"/>
    <x v="0"/>
    <x v="0"/>
    <x v="8"/>
    <x v="2"/>
    <x v="10"/>
    <x v="1"/>
  </r>
  <r>
    <x v="1884"/>
    <x v="8"/>
    <x v="2"/>
    <n v="33.200000000000003"/>
    <n v="99.600000000000009"/>
    <x v="68"/>
    <d v="2025-03-24T00:00:00"/>
    <x v="0"/>
    <x v="0"/>
    <x v="4"/>
    <x v="0"/>
    <x v="8"/>
    <x v="12"/>
    <x v="10"/>
    <x v="0"/>
  </r>
  <r>
    <x v="1885"/>
    <x v="1"/>
    <x v="12"/>
    <n v="74.5"/>
    <n v="298"/>
    <x v="68"/>
    <d v="2025-03-11T00:00:00"/>
    <x v="1"/>
    <x v="4"/>
    <x v="0"/>
    <x v="0"/>
    <x v="8"/>
    <x v="3"/>
    <x v="10"/>
    <x v="1"/>
  </r>
  <r>
    <x v="1886"/>
    <x v="10"/>
    <x v="4"/>
    <n v="68.599999999999994"/>
    <n v="823.19999999999993"/>
    <x v="68"/>
    <d v="2025-03-13T00:00:00"/>
    <x v="2"/>
    <x v="0"/>
    <x v="2"/>
    <x v="0"/>
    <x v="8"/>
    <x v="2"/>
    <x v="10"/>
    <x v="2"/>
  </r>
  <r>
    <x v="1887"/>
    <x v="5"/>
    <x v="21"/>
    <n v="36.4"/>
    <n v="509.59999999999997"/>
    <x v="68"/>
    <d v="2025-03-12T00:00:00"/>
    <x v="2"/>
    <x v="0"/>
    <x v="1"/>
    <x v="0"/>
    <x v="9"/>
    <x v="1"/>
    <x v="10"/>
    <x v="2"/>
  </r>
  <r>
    <x v="1888"/>
    <x v="16"/>
    <x v="9"/>
    <n v="67.599999999999994"/>
    <n v="338"/>
    <x v="69"/>
    <d v="2025-03-14T00:00:00"/>
    <x v="2"/>
    <x v="4"/>
    <x v="1"/>
    <x v="0"/>
    <x v="9"/>
    <x v="2"/>
    <x v="10"/>
    <x v="2"/>
  </r>
  <r>
    <x v="1889"/>
    <x v="15"/>
    <x v="0"/>
    <n v="46.3"/>
    <n v="46.3"/>
    <x v="69"/>
    <d v="2025-03-12T00:00:00"/>
    <x v="1"/>
    <x v="2"/>
    <x v="0"/>
    <x v="0"/>
    <x v="9"/>
    <x v="3"/>
    <x v="10"/>
    <x v="1"/>
  </r>
  <r>
    <x v="1890"/>
    <x v="1"/>
    <x v="2"/>
    <n v="124.2"/>
    <n v="372.6"/>
    <x v="69"/>
    <d v="2025-03-13T00:00:00"/>
    <x v="2"/>
    <x v="1"/>
    <x v="2"/>
    <x v="0"/>
    <x v="11"/>
    <x v="1"/>
    <x v="10"/>
    <x v="2"/>
  </r>
  <r>
    <x v="1891"/>
    <x v="10"/>
    <x v="1"/>
    <n v="37"/>
    <n v="74"/>
    <x v="69"/>
    <d v="2025-03-17T00:00:00"/>
    <x v="1"/>
    <x v="0"/>
    <x v="0"/>
    <x v="0"/>
    <x v="11"/>
    <x v="4"/>
    <x v="10"/>
    <x v="1"/>
  </r>
  <r>
    <x v="1892"/>
    <x v="5"/>
    <x v="0"/>
    <n v="41.8"/>
    <n v="41.8"/>
    <x v="69"/>
    <d v="2025-03-12T00:00:00"/>
    <x v="1"/>
    <x v="2"/>
    <x v="0"/>
    <x v="0"/>
    <x v="31"/>
    <x v="3"/>
    <x v="10"/>
    <x v="1"/>
  </r>
  <r>
    <x v="1893"/>
    <x v="9"/>
    <x v="1"/>
    <n v="57.2"/>
    <n v="114.4"/>
    <x v="69"/>
    <d v="2025-03-13T00:00:00"/>
    <x v="1"/>
    <x v="2"/>
    <x v="1"/>
    <x v="0"/>
    <x v="20"/>
    <x v="1"/>
    <x v="10"/>
    <x v="1"/>
  </r>
  <r>
    <x v="1894"/>
    <x v="6"/>
    <x v="1"/>
    <n v="47.1"/>
    <n v="94.2"/>
    <x v="69"/>
    <d v="2025-03-13T00:00:00"/>
    <x v="2"/>
    <x v="0"/>
    <x v="4"/>
    <x v="0"/>
    <x v="20"/>
    <x v="1"/>
    <x v="10"/>
    <x v="2"/>
  </r>
  <r>
    <x v="1895"/>
    <x v="5"/>
    <x v="2"/>
    <n v="86.4"/>
    <n v="259.20000000000005"/>
    <x v="69"/>
    <d v="2025-03-12T00:00:00"/>
    <x v="1"/>
    <x v="2"/>
    <x v="1"/>
    <x v="0"/>
    <x v="52"/>
    <x v="3"/>
    <x v="10"/>
    <x v="1"/>
  </r>
  <r>
    <x v="1896"/>
    <x v="6"/>
    <x v="9"/>
    <n v="105"/>
    <n v="525"/>
    <x v="69"/>
    <d v="2025-03-14T00:00:00"/>
    <x v="1"/>
    <x v="0"/>
    <x v="0"/>
    <x v="0"/>
    <x v="13"/>
    <x v="2"/>
    <x v="10"/>
    <x v="1"/>
  </r>
  <r>
    <x v="1897"/>
    <x v="18"/>
    <x v="0"/>
    <n v="33"/>
    <n v="33"/>
    <x v="69"/>
    <d v="2025-03-14T00:00:00"/>
    <x v="1"/>
    <x v="4"/>
    <x v="0"/>
    <x v="0"/>
    <x v="21"/>
    <x v="2"/>
    <x v="10"/>
    <x v="1"/>
  </r>
  <r>
    <x v="1898"/>
    <x v="6"/>
    <x v="9"/>
    <n v="106.6"/>
    <n v="533"/>
    <x v="69"/>
    <d v="2025-03-24T00:00:00"/>
    <x v="2"/>
    <x v="2"/>
    <x v="0"/>
    <x v="0"/>
    <x v="1"/>
    <x v="10"/>
    <x v="10"/>
    <x v="2"/>
  </r>
  <r>
    <x v="1899"/>
    <x v="10"/>
    <x v="46"/>
    <n v="26.8"/>
    <n v="857.6"/>
    <x v="69"/>
    <d v="2025-03-12T00:00:00"/>
    <x v="2"/>
    <x v="2"/>
    <x v="0"/>
    <x v="0"/>
    <x v="1"/>
    <x v="3"/>
    <x v="10"/>
    <x v="2"/>
  </r>
  <r>
    <x v="1900"/>
    <x v="17"/>
    <x v="9"/>
    <n v="25.8"/>
    <n v="129"/>
    <x v="69"/>
    <d v="2025-03-11T00:00:00"/>
    <x v="2"/>
    <x v="1"/>
    <x v="2"/>
    <x v="0"/>
    <x v="3"/>
    <x v="7"/>
    <x v="10"/>
    <x v="2"/>
  </r>
  <r>
    <x v="1901"/>
    <x v="2"/>
    <x v="2"/>
    <n v="217"/>
    <n v="651"/>
    <x v="69"/>
    <d v="2025-03-12T00:00:00"/>
    <x v="2"/>
    <x v="1"/>
    <x v="1"/>
    <x v="0"/>
    <x v="3"/>
    <x v="3"/>
    <x v="10"/>
    <x v="2"/>
  </r>
  <r>
    <x v="1902"/>
    <x v="2"/>
    <x v="1"/>
    <n v="97.3"/>
    <n v="194.6"/>
    <x v="69"/>
    <d v="2025-03-12T00:00:00"/>
    <x v="1"/>
    <x v="2"/>
    <x v="4"/>
    <x v="0"/>
    <x v="3"/>
    <x v="3"/>
    <x v="10"/>
    <x v="1"/>
  </r>
  <r>
    <x v="1903"/>
    <x v="1"/>
    <x v="0"/>
    <n v="49.8"/>
    <n v="49.8"/>
    <x v="69"/>
    <d v="2025-03-12T00:00:00"/>
    <x v="2"/>
    <x v="0"/>
    <x v="0"/>
    <x v="0"/>
    <x v="3"/>
    <x v="3"/>
    <x v="10"/>
    <x v="2"/>
  </r>
  <r>
    <x v="1904"/>
    <x v="12"/>
    <x v="9"/>
    <n v="32.6"/>
    <n v="163"/>
    <x v="69"/>
    <d v="2025-03-12T00:00:00"/>
    <x v="2"/>
    <x v="0"/>
    <x v="0"/>
    <x v="0"/>
    <x v="3"/>
    <x v="3"/>
    <x v="10"/>
    <x v="2"/>
  </r>
  <r>
    <x v="1905"/>
    <x v="9"/>
    <x v="1"/>
    <n v="40.1"/>
    <n v="80.2"/>
    <x v="69"/>
    <d v="2025-03-14T00:00:00"/>
    <x v="1"/>
    <x v="1"/>
    <x v="2"/>
    <x v="0"/>
    <x v="3"/>
    <x v="2"/>
    <x v="10"/>
    <x v="1"/>
  </r>
  <r>
    <x v="1906"/>
    <x v="10"/>
    <x v="1"/>
    <n v="49.4"/>
    <n v="98.8"/>
    <x v="69"/>
    <d v="2025-03-13T00:00:00"/>
    <x v="1"/>
    <x v="1"/>
    <x v="0"/>
    <x v="0"/>
    <x v="3"/>
    <x v="1"/>
    <x v="10"/>
    <x v="1"/>
  </r>
  <r>
    <x v="1907"/>
    <x v="2"/>
    <x v="0"/>
    <n v="67.3"/>
    <n v="67.3"/>
    <x v="69"/>
    <d v="2025-03-12T00:00:00"/>
    <x v="2"/>
    <x v="0"/>
    <x v="2"/>
    <x v="0"/>
    <x v="3"/>
    <x v="3"/>
    <x v="10"/>
    <x v="2"/>
  </r>
  <r>
    <x v="1908"/>
    <x v="18"/>
    <x v="12"/>
    <n v="44.5"/>
    <n v="178"/>
    <x v="69"/>
    <d v="2025-03-14T00:00:00"/>
    <x v="0"/>
    <x v="1"/>
    <x v="0"/>
    <x v="0"/>
    <x v="3"/>
    <x v="2"/>
    <x v="10"/>
    <x v="0"/>
  </r>
  <r>
    <x v="1909"/>
    <x v="6"/>
    <x v="5"/>
    <n v="111.1"/>
    <n v="1222.0999999999999"/>
    <x v="69"/>
    <d v="2025-03-12T00:00:00"/>
    <x v="2"/>
    <x v="4"/>
    <x v="0"/>
    <x v="0"/>
    <x v="3"/>
    <x v="3"/>
    <x v="10"/>
    <x v="2"/>
  </r>
  <r>
    <x v="1910"/>
    <x v="8"/>
    <x v="2"/>
    <n v="19.7"/>
    <n v="59.099999999999994"/>
    <x v="69"/>
    <d v="2025-03-12T00:00:00"/>
    <x v="2"/>
    <x v="4"/>
    <x v="4"/>
    <x v="0"/>
    <x v="3"/>
    <x v="3"/>
    <x v="10"/>
    <x v="2"/>
  </r>
  <r>
    <x v="1911"/>
    <x v="1"/>
    <x v="0"/>
    <n v="40.299999999999997"/>
    <n v="40.299999999999997"/>
    <x v="69"/>
    <d v="2025-03-12T00:00:00"/>
    <x v="3"/>
    <x v="1"/>
    <x v="0"/>
    <x v="0"/>
    <x v="3"/>
    <x v="3"/>
    <x v="10"/>
    <x v="3"/>
  </r>
  <r>
    <x v="1912"/>
    <x v="6"/>
    <x v="1"/>
    <n v="108.8"/>
    <n v="217.6"/>
    <x v="69"/>
    <d v="2025-03-16T00:00:00"/>
    <x v="1"/>
    <x v="0"/>
    <x v="2"/>
    <x v="0"/>
    <x v="6"/>
    <x v="0"/>
    <x v="10"/>
    <x v="1"/>
  </r>
  <r>
    <x v="1913"/>
    <x v="8"/>
    <x v="2"/>
    <n v="48.2"/>
    <n v="144.60000000000002"/>
    <x v="69"/>
    <d v="2025-03-16T00:00:00"/>
    <x v="2"/>
    <x v="4"/>
    <x v="0"/>
    <x v="0"/>
    <x v="7"/>
    <x v="0"/>
    <x v="10"/>
    <x v="2"/>
  </r>
  <r>
    <x v="1914"/>
    <x v="2"/>
    <x v="2"/>
    <n v="104.7"/>
    <n v="314.10000000000002"/>
    <x v="69"/>
    <d v="2025-03-13T00:00:00"/>
    <x v="2"/>
    <x v="0"/>
    <x v="1"/>
    <x v="0"/>
    <x v="7"/>
    <x v="1"/>
    <x v="10"/>
    <x v="2"/>
  </r>
  <r>
    <x v="1915"/>
    <x v="1"/>
    <x v="1"/>
    <n v="80.599999999999994"/>
    <n v="161.19999999999999"/>
    <x v="69"/>
    <d v="2025-03-11T00:00:00"/>
    <x v="2"/>
    <x v="1"/>
    <x v="0"/>
    <x v="0"/>
    <x v="8"/>
    <x v="7"/>
    <x v="10"/>
    <x v="2"/>
  </r>
  <r>
    <x v="1916"/>
    <x v="6"/>
    <x v="0"/>
    <n v="65.5"/>
    <n v="65.5"/>
    <x v="69"/>
    <d v="2025-03-13T00:00:00"/>
    <x v="3"/>
    <x v="1"/>
    <x v="0"/>
    <x v="0"/>
    <x v="8"/>
    <x v="1"/>
    <x v="10"/>
    <x v="3"/>
  </r>
  <r>
    <x v="1917"/>
    <x v="9"/>
    <x v="2"/>
    <n v="61.4"/>
    <n v="184.2"/>
    <x v="69"/>
    <d v="2025-03-13T00:00:00"/>
    <x v="2"/>
    <x v="4"/>
    <x v="2"/>
    <x v="0"/>
    <x v="8"/>
    <x v="1"/>
    <x v="10"/>
    <x v="2"/>
  </r>
  <r>
    <x v="1918"/>
    <x v="0"/>
    <x v="0"/>
    <n v="12.5"/>
    <n v="12.5"/>
    <x v="70"/>
    <d v="2025-03-15T00:00:00"/>
    <x v="2"/>
    <x v="0"/>
    <x v="1"/>
    <x v="0"/>
    <x v="8"/>
    <x v="2"/>
    <x v="10"/>
    <x v="2"/>
  </r>
  <r>
    <x v="1919"/>
    <x v="4"/>
    <x v="12"/>
    <n v="35.1"/>
    <n v="140.4"/>
    <x v="70"/>
    <d v="2025-03-13T00:00:00"/>
    <x v="1"/>
    <x v="2"/>
    <x v="1"/>
    <x v="0"/>
    <x v="17"/>
    <x v="3"/>
    <x v="10"/>
    <x v="1"/>
  </r>
  <r>
    <x v="1920"/>
    <x v="5"/>
    <x v="1"/>
    <n v="55.7"/>
    <n v="111.4"/>
    <x v="70"/>
    <d v="2025-03-13T00:00:00"/>
    <x v="1"/>
    <x v="0"/>
    <x v="1"/>
    <x v="0"/>
    <x v="26"/>
    <x v="3"/>
    <x v="10"/>
    <x v="1"/>
  </r>
  <r>
    <x v="1921"/>
    <x v="7"/>
    <x v="1"/>
    <n v="57.7"/>
    <n v="115.4"/>
    <x v="70"/>
    <d v="2025-03-14T00:00:00"/>
    <x v="1"/>
    <x v="4"/>
    <x v="1"/>
    <x v="0"/>
    <x v="9"/>
    <x v="1"/>
    <x v="10"/>
    <x v="1"/>
  </r>
  <r>
    <x v="1922"/>
    <x v="2"/>
    <x v="13"/>
    <n v="85.7"/>
    <n v="514.20000000000005"/>
    <x v="70"/>
    <d v="2025-03-13T00:00:00"/>
    <x v="1"/>
    <x v="3"/>
    <x v="2"/>
    <x v="0"/>
    <x v="9"/>
    <x v="3"/>
    <x v="10"/>
    <x v="1"/>
  </r>
  <r>
    <x v="1923"/>
    <x v="2"/>
    <x v="2"/>
    <n v="86.9"/>
    <n v="260.70000000000005"/>
    <x v="70"/>
    <d v="2025-03-14T00:00:00"/>
    <x v="2"/>
    <x v="1"/>
    <x v="0"/>
    <x v="0"/>
    <x v="11"/>
    <x v="1"/>
    <x v="10"/>
    <x v="2"/>
  </r>
  <r>
    <x v="1924"/>
    <x v="18"/>
    <x v="1"/>
    <n v="46.4"/>
    <n v="92.8"/>
    <x v="70"/>
    <d v="2025-03-15T00:00:00"/>
    <x v="2"/>
    <x v="4"/>
    <x v="0"/>
    <x v="0"/>
    <x v="11"/>
    <x v="2"/>
    <x v="10"/>
    <x v="2"/>
  </r>
  <r>
    <x v="1925"/>
    <x v="5"/>
    <x v="2"/>
    <n v="25.4"/>
    <n v="76.199999999999989"/>
    <x v="70"/>
    <d v="2025-03-12T00:00:00"/>
    <x v="2"/>
    <x v="2"/>
    <x v="2"/>
    <x v="0"/>
    <x v="18"/>
    <x v="7"/>
    <x v="10"/>
    <x v="2"/>
  </r>
  <r>
    <x v="1926"/>
    <x v="10"/>
    <x v="2"/>
    <n v="47.8"/>
    <n v="143.39999999999998"/>
    <x v="70"/>
    <d v="2025-03-12T00:00:00"/>
    <x v="0"/>
    <x v="2"/>
    <x v="2"/>
    <x v="0"/>
    <x v="19"/>
    <x v="7"/>
    <x v="10"/>
    <x v="0"/>
  </r>
  <r>
    <x v="1927"/>
    <x v="8"/>
    <x v="10"/>
    <n v="18.399999999999999"/>
    <n v="349.59999999999997"/>
    <x v="70"/>
    <d v="2025-03-14T00:00:00"/>
    <x v="3"/>
    <x v="2"/>
    <x v="0"/>
    <x v="0"/>
    <x v="20"/>
    <x v="1"/>
    <x v="10"/>
    <x v="3"/>
  </r>
  <r>
    <x v="1928"/>
    <x v="12"/>
    <x v="2"/>
    <n v="65.5"/>
    <n v="196.5"/>
    <x v="70"/>
    <d v="2025-03-20T00:00:00"/>
    <x v="2"/>
    <x v="0"/>
    <x v="0"/>
    <x v="0"/>
    <x v="21"/>
    <x v="9"/>
    <x v="10"/>
    <x v="2"/>
  </r>
  <r>
    <x v="1929"/>
    <x v="10"/>
    <x v="1"/>
    <n v="50.6"/>
    <n v="101.2"/>
    <x v="70"/>
    <d v="2025-03-15T00:00:00"/>
    <x v="1"/>
    <x v="2"/>
    <x v="4"/>
    <x v="0"/>
    <x v="21"/>
    <x v="2"/>
    <x v="10"/>
    <x v="1"/>
  </r>
  <r>
    <x v="1930"/>
    <x v="3"/>
    <x v="9"/>
    <n v="69"/>
    <n v="345"/>
    <x v="70"/>
    <d v="2025-03-16T00:00:00"/>
    <x v="1"/>
    <x v="3"/>
    <x v="0"/>
    <x v="0"/>
    <x v="21"/>
    <x v="5"/>
    <x v="10"/>
    <x v="1"/>
  </r>
  <r>
    <x v="1931"/>
    <x v="9"/>
    <x v="8"/>
    <n v="51.1"/>
    <n v="408.8"/>
    <x v="70"/>
    <d v="2025-03-14T00:00:00"/>
    <x v="2"/>
    <x v="0"/>
    <x v="0"/>
    <x v="0"/>
    <x v="1"/>
    <x v="1"/>
    <x v="10"/>
    <x v="2"/>
  </r>
  <r>
    <x v="1932"/>
    <x v="9"/>
    <x v="0"/>
    <n v="36.1"/>
    <n v="36.1"/>
    <x v="70"/>
    <d v="2025-03-13T00:00:00"/>
    <x v="2"/>
    <x v="0"/>
    <x v="2"/>
    <x v="0"/>
    <x v="34"/>
    <x v="3"/>
    <x v="10"/>
    <x v="2"/>
  </r>
  <r>
    <x v="1933"/>
    <x v="14"/>
    <x v="0"/>
    <n v="18.7"/>
    <n v="18.7"/>
    <x v="70"/>
    <d v="2025-03-13T00:00:00"/>
    <x v="1"/>
    <x v="0"/>
    <x v="0"/>
    <x v="0"/>
    <x v="3"/>
    <x v="3"/>
    <x v="10"/>
    <x v="1"/>
  </r>
  <r>
    <x v="1934"/>
    <x v="17"/>
    <x v="0"/>
    <n v="30.1"/>
    <n v="30.1"/>
    <x v="70"/>
    <d v="2025-03-15T00:00:00"/>
    <x v="2"/>
    <x v="3"/>
    <x v="1"/>
    <x v="0"/>
    <x v="3"/>
    <x v="2"/>
    <x v="10"/>
    <x v="2"/>
  </r>
  <r>
    <x v="1935"/>
    <x v="8"/>
    <x v="0"/>
    <n v="16.3"/>
    <n v="16.3"/>
    <x v="70"/>
    <d v="2025-03-13T00:00:00"/>
    <x v="1"/>
    <x v="3"/>
    <x v="0"/>
    <x v="0"/>
    <x v="3"/>
    <x v="3"/>
    <x v="10"/>
    <x v="1"/>
  </r>
  <r>
    <x v="1936"/>
    <x v="1"/>
    <x v="2"/>
    <n v="63.8"/>
    <n v="191.39999999999998"/>
    <x v="70"/>
    <d v="2025-03-17T00:00:00"/>
    <x v="2"/>
    <x v="2"/>
    <x v="1"/>
    <x v="0"/>
    <x v="3"/>
    <x v="0"/>
    <x v="10"/>
    <x v="2"/>
  </r>
  <r>
    <x v="1937"/>
    <x v="1"/>
    <x v="3"/>
    <n v="73.900000000000006"/>
    <n v="517.30000000000007"/>
    <x v="70"/>
    <d v="2025-03-12T00:00:00"/>
    <x v="2"/>
    <x v="0"/>
    <x v="1"/>
    <x v="0"/>
    <x v="3"/>
    <x v="7"/>
    <x v="10"/>
    <x v="2"/>
  </r>
  <r>
    <x v="1938"/>
    <x v="0"/>
    <x v="1"/>
    <n v="20.2"/>
    <n v="40.4"/>
    <x v="70"/>
    <d v="2025-03-13T00:00:00"/>
    <x v="1"/>
    <x v="0"/>
    <x v="1"/>
    <x v="0"/>
    <x v="3"/>
    <x v="3"/>
    <x v="10"/>
    <x v="1"/>
  </r>
  <r>
    <x v="1939"/>
    <x v="11"/>
    <x v="5"/>
    <n v="29.5"/>
    <n v="324.5"/>
    <x v="70"/>
    <d v="2025-03-13T00:00:00"/>
    <x v="1"/>
    <x v="0"/>
    <x v="0"/>
    <x v="0"/>
    <x v="3"/>
    <x v="3"/>
    <x v="10"/>
    <x v="1"/>
  </r>
  <r>
    <x v="1940"/>
    <x v="15"/>
    <x v="3"/>
    <n v="37.9"/>
    <n v="265.3"/>
    <x v="70"/>
    <d v="2025-03-13T00:00:00"/>
    <x v="1"/>
    <x v="1"/>
    <x v="0"/>
    <x v="0"/>
    <x v="3"/>
    <x v="3"/>
    <x v="10"/>
    <x v="1"/>
  </r>
  <r>
    <x v="1941"/>
    <x v="2"/>
    <x v="0"/>
    <n v="56.5"/>
    <n v="56.5"/>
    <x v="70"/>
    <d v="2025-03-13T00:00:00"/>
    <x v="2"/>
    <x v="2"/>
    <x v="1"/>
    <x v="0"/>
    <x v="3"/>
    <x v="3"/>
    <x v="10"/>
    <x v="2"/>
  </r>
  <r>
    <x v="1942"/>
    <x v="2"/>
    <x v="1"/>
    <n v="66.900000000000006"/>
    <n v="133.80000000000001"/>
    <x v="70"/>
    <d v="2025-03-18T00:00:00"/>
    <x v="1"/>
    <x v="1"/>
    <x v="4"/>
    <x v="0"/>
    <x v="25"/>
    <x v="4"/>
    <x v="10"/>
    <x v="1"/>
  </r>
  <r>
    <x v="1943"/>
    <x v="2"/>
    <x v="9"/>
    <n v="51.9"/>
    <n v="259.5"/>
    <x v="70"/>
    <d v="2025-03-15T00:00:00"/>
    <x v="1"/>
    <x v="1"/>
    <x v="0"/>
    <x v="0"/>
    <x v="7"/>
    <x v="2"/>
    <x v="10"/>
    <x v="1"/>
  </r>
  <r>
    <x v="1944"/>
    <x v="2"/>
    <x v="1"/>
    <n v="75.599999999999994"/>
    <n v="151.19999999999999"/>
    <x v="70"/>
    <d v="2025-03-15T00:00:00"/>
    <x v="1"/>
    <x v="1"/>
    <x v="0"/>
    <x v="0"/>
    <x v="8"/>
    <x v="2"/>
    <x v="10"/>
    <x v="1"/>
  </r>
  <r>
    <x v="1945"/>
    <x v="12"/>
    <x v="13"/>
    <n v="47.3"/>
    <n v="283.79999999999995"/>
    <x v="70"/>
    <d v="2025-03-23T00:00:00"/>
    <x v="1"/>
    <x v="0"/>
    <x v="0"/>
    <x v="0"/>
    <x v="8"/>
    <x v="11"/>
    <x v="10"/>
    <x v="1"/>
  </r>
  <r>
    <x v="1946"/>
    <x v="4"/>
    <x v="0"/>
    <n v="20.6"/>
    <n v="20.6"/>
    <x v="70"/>
    <d v="2025-03-13T00:00:00"/>
    <x v="0"/>
    <x v="0"/>
    <x v="1"/>
    <x v="0"/>
    <x v="8"/>
    <x v="3"/>
    <x v="10"/>
    <x v="0"/>
  </r>
  <r>
    <x v="1947"/>
    <x v="6"/>
    <x v="2"/>
    <n v="49.7"/>
    <n v="149.10000000000002"/>
    <x v="70"/>
    <d v="2025-03-14T00:00:00"/>
    <x v="1"/>
    <x v="0"/>
    <x v="1"/>
    <x v="0"/>
    <x v="8"/>
    <x v="1"/>
    <x v="10"/>
    <x v="1"/>
  </r>
  <r>
    <x v="1948"/>
    <x v="3"/>
    <x v="0"/>
    <n v="37.9"/>
    <n v="37.9"/>
    <x v="70"/>
    <d v="2025-03-14T00:00:00"/>
    <x v="2"/>
    <x v="0"/>
    <x v="0"/>
    <x v="0"/>
    <x v="8"/>
    <x v="1"/>
    <x v="10"/>
    <x v="2"/>
  </r>
  <r>
    <x v="1949"/>
    <x v="13"/>
    <x v="20"/>
    <n v="32"/>
    <n v="480"/>
    <x v="70"/>
    <d v="2025-03-14T00:00:00"/>
    <x v="2"/>
    <x v="4"/>
    <x v="0"/>
    <x v="0"/>
    <x v="11"/>
    <x v="1"/>
    <x v="10"/>
    <x v="2"/>
  </r>
  <r>
    <x v="1950"/>
    <x v="10"/>
    <x v="16"/>
    <n v="38.5"/>
    <n v="693"/>
    <x v="71"/>
    <d v="2025-03-14T00:00:00"/>
    <x v="1"/>
    <x v="0"/>
    <x v="2"/>
    <x v="0"/>
    <x v="11"/>
    <x v="3"/>
    <x v="10"/>
    <x v="1"/>
  </r>
  <r>
    <x v="1951"/>
    <x v="0"/>
    <x v="12"/>
    <n v="11.7"/>
    <n v="46.8"/>
    <x v="71"/>
    <d v="2025-03-15T00:00:00"/>
    <x v="2"/>
    <x v="1"/>
    <x v="0"/>
    <x v="0"/>
    <x v="20"/>
    <x v="1"/>
    <x v="10"/>
    <x v="2"/>
  </r>
  <r>
    <x v="1952"/>
    <x v="3"/>
    <x v="13"/>
    <n v="83.8"/>
    <n v="502.79999999999995"/>
    <x v="71"/>
    <d v="2025-03-14T00:00:00"/>
    <x v="1"/>
    <x v="0"/>
    <x v="0"/>
    <x v="0"/>
    <x v="21"/>
    <x v="3"/>
    <x v="10"/>
    <x v="1"/>
  </r>
  <r>
    <x v="1953"/>
    <x v="0"/>
    <x v="3"/>
    <n v="14"/>
    <n v="98"/>
    <x v="71"/>
    <d v="2025-03-16T00:00:00"/>
    <x v="1"/>
    <x v="0"/>
    <x v="1"/>
    <x v="0"/>
    <x v="22"/>
    <x v="2"/>
    <x v="10"/>
    <x v="1"/>
  </r>
  <r>
    <x v="1954"/>
    <x v="16"/>
    <x v="12"/>
    <n v="77.3"/>
    <n v="309.2"/>
    <x v="71"/>
    <d v="2025-03-15T00:00:00"/>
    <x v="2"/>
    <x v="4"/>
    <x v="2"/>
    <x v="0"/>
    <x v="3"/>
    <x v="1"/>
    <x v="10"/>
    <x v="2"/>
  </r>
  <r>
    <x v="1955"/>
    <x v="2"/>
    <x v="1"/>
    <n v="76.900000000000006"/>
    <n v="153.80000000000001"/>
    <x v="71"/>
    <d v="2025-03-17T00:00:00"/>
    <x v="2"/>
    <x v="0"/>
    <x v="1"/>
    <x v="0"/>
    <x v="3"/>
    <x v="5"/>
    <x v="10"/>
    <x v="2"/>
  </r>
  <r>
    <x v="1956"/>
    <x v="1"/>
    <x v="0"/>
    <n v="48"/>
    <n v="48"/>
    <x v="71"/>
    <d v="2025-03-15T00:00:00"/>
    <x v="2"/>
    <x v="1"/>
    <x v="2"/>
    <x v="0"/>
    <x v="3"/>
    <x v="1"/>
    <x v="10"/>
    <x v="2"/>
  </r>
  <r>
    <x v="1957"/>
    <x v="2"/>
    <x v="0"/>
    <n v="94.5"/>
    <n v="94.5"/>
    <x v="71"/>
    <d v="2025-03-16T00:00:00"/>
    <x v="1"/>
    <x v="1"/>
    <x v="1"/>
    <x v="0"/>
    <x v="3"/>
    <x v="2"/>
    <x v="10"/>
    <x v="1"/>
  </r>
  <r>
    <x v="1958"/>
    <x v="10"/>
    <x v="2"/>
    <n v="58.4"/>
    <n v="175.2"/>
    <x v="71"/>
    <d v="2025-03-15T00:00:00"/>
    <x v="2"/>
    <x v="1"/>
    <x v="2"/>
    <x v="0"/>
    <x v="3"/>
    <x v="1"/>
    <x v="10"/>
    <x v="2"/>
  </r>
  <r>
    <x v="1959"/>
    <x v="7"/>
    <x v="15"/>
    <n v="42.2"/>
    <n v="548.6"/>
    <x v="71"/>
    <d v="2025-03-13T00:00:00"/>
    <x v="1"/>
    <x v="0"/>
    <x v="0"/>
    <x v="0"/>
    <x v="25"/>
    <x v="7"/>
    <x v="10"/>
    <x v="1"/>
  </r>
  <r>
    <x v="1960"/>
    <x v="6"/>
    <x v="1"/>
    <n v="152.19999999999999"/>
    <n v="304.39999999999998"/>
    <x v="71"/>
    <d v="2025-03-14T00:00:00"/>
    <x v="1"/>
    <x v="4"/>
    <x v="1"/>
    <x v="0"/>
    <x v="25"/>
    <x v="3"/>
    <x v="10"/>
    <x v="1"/>
  </r>
  <r>
    <x v="1961"/>
    <x v="6"/>
    <x v="25"/>
    <n v="72"/>
    <n v="1728"/>
    <x v="71"/>
    <d v="2025-03-14T00:00:00"/>
    <x v="1"/>
    <x v="0"/>
    <x v="1"/>
    <x v="0"/>
    <x v="6"/>
    <x v="3"/>
    <x v="10"/>
    <x v="1"/>
  </r>
  <r>
    <x v="1962"/>
    <x v="1"/>
    <x v="44"/>
    <n v="70.900000000000006"/>
    <n v="1630.7"/>
    <x v="71"/>
    <d v="2025-03-14T00:00:00"/>
    <x v="2"/>
    <x v="2"/>
    <x v="0"/>
    <x v="0"/>
    <x v="8"/>
    <x v="3"/>
    <x v="10"/>
    <x v="2"/>
  </r>
  <r>
    <x v="1963"/>
    <x v="2"/>
    <x v="1"/>
    <n v="53.7"/>
    <n v="107.4"/>
    <x v="71"/>
    <d v="2025-03-14T00:00:00"/>
    <x v="1"/>
    <x v="2"/>
    <x v="2"/>
    <x v="0"/>
    <x v="8"/>
    <x v="3"/>
    <x v="10"/>
    <x v="1"/>
  </r>
  <r>
    <x v="1964"/>
    <x v="9"/>
    <x v="12"/>
    <n v="42.9"/>
    <n v="171.6"/>
    <x v="71"/>
    <d v="2025-03-14T00:00:00"/>
    <x v="2"/>
    <x v="2"/>
    <x v="4"/>
    <x v="0"/>
    <x v="9"/>
    <x v="3"/>
    <x v="10"/>
    <x v="2"/>
  </r>
  <r>
    <x v="1965"/>
    <x v="2"/>
    <x v="3"/>
    <n v="107.5"/>
    <n v="752.5"/>
    <x v="71"/>
    <d v="2025-03-14T00:00:00"/>
    <x v="1"/>
    <x v="1"/>
    <x v="0"/>
    <x v="0"/>
    <x v="11"/>
    <x v="3"/>
    <x v="10"/>
    <x v="1"/>
  </r>
  <r>
    <x v="1966"/>
    <x v="17"/>
    <x v="27"/>
    <n v="21.5"/>
    <n v="344"/>
    <x v="71"/>
    <d v="2025-03-14T00:00:00"/>
    <x v="1"/>
    <x v="1"/>
    <x v="1"/>
    <x v="0"/>
    <x v="32"/>
    <x v="3"/>
    <x v="10"/>
    <x v="1"/>
  </r>
  <r>
    <x v="1967"/>
    <x v="3"/>
    <x v="9"/>
    <n v="85.3"/>
    <n v="426.5"/>
    <x v="71"/>
    <d v="2025-03-15T00:00:00"/>
    <x v="2"/>
    <x v="3"/>
    <x v="0"/>
    <x v="0"/>
    <x v="18"/>
    <x v="1"/>
    <x v="10"/>
    <x v="2"/>
  </r>
  <r>
    <x v="1968"/>
    <x v="7"/>
    <x v="9"/>
    <n v="80.8"/>
    <n v="404"/>
    <x v="71"/>
    <d v="2025-03-21T00:00:00"/>
    <x v="3"/>
    <x v="1"/>
    <x v="1"/>
    <x v="0"/>
    <x v="19"/>
    <x v="9"/>
    <x v="10"/>
    <x v="3"/>
  </r>
  <r>
    <x v="1969"/>
    <x v="2"/>
    <x v="2"/>
    <n v="123.1"/>
    <n v="369.29999999999995"/>
    <x v="71"/>
    <d v="2025-03-15T00:00:00"/>
    <x v="0"/>
    <x v="2"/>
    <x v="0"/>
    <x v="0"/>
    <x v="21"/>
    <x v="1"/>
    <x v="10"/>
    <x v="0"/>
  </r>
  <r>
    <x v="1970"/>
    <x v="8"/>
    <x v="1"/>
    <n v="36.9"/>
    <n v="73.8"/>
    <x v="71"/>
    <d v="2025-03-15T00:00:00"/>
    <x v="2"/>
    <x v="2"/>
    <x v="4"/>
    <x v="0"/>
    <x v="51"/>
    <x v="1"/>
    <x v="10"/>
    <x v="2"/>
  </r>
  <r>
    <x v="1971"/>
    <x v="11"/>
    <x v="9"/>
    <n v="40"/>
    <n v="200"/>
    <x v="71"/>
    <d v="2025-03-14T00:00:00"/>
    <x v="1"/>
    <x v="0"/>
    <x v="0"/>
    <x v="0"/>
    <x v="1"/>
    <x v="3"/>
    <x v="10"/>
    <x v="1"/>
  </r>
  <r>
    <x v="1972"/>
    <x v="6"/>
    <x v="2"/>
    <n v="55.5"/>
    <n v="166.5"/>
    <x v="71"/>
    <d v="2025-03-14T00:00:00"/>
    <x v="1"/>
    <x v="4"/>
    <x v="2"/>
    <x v="0"/>
    <x v="1"/>
    <x v="3"/>
    <x v="10"/>
    <x v="1"/>
  </r>
  <r>
    <x v="1973"/>
    <x v="0"/>
    <x v="12"/>
    <n v="20.5"/>
    <n v="82"/>
    <x v="71"/>
    <d v="2025-03-17T00:00:00"/>
    <x v="2"/>
    <x v="4"/>
    <x v="0"/>
    <x v="0"/>
    <x v="1"/>
    <x v="5"/>
    <x v="10"/>
    <x v="2"/>
  </r>
  <r>
    <x v="1974"/>
    <x v="18"/>
    <x v="12"/>
    <n v="50.1"/>
    <n v="200.4"/>
    <x v="71"/>
    <d v="2025-03-14T00:00:00"/>
    <x v="2"/>
    <x v="4"/>
    <x v="0"/>
    <x v="0"/>
    <x v="1"/>
    <x v="3"/>
    <x v="10"/>
    <x v="2"/>
  </r>
  <r>
    <x v="1975"/>
    <x v="9"/>
    <x v="0"/>
    <n v="35.9"/>
    <n v="35.9"/>
    <x v="71"/>
    <d v="2025-03-15T00:00:00"/>
    <x v="1"/>
    <x v="1"/>
    <x v="2"/>
    <x v="0"/>
    <x v="1"/>
    <x v="1"/>
    <x v="10"/>
    <x v="1"/>
  </r>
  <r>
    <x v="1976"/>
    <x v="13"/>
    <x v="12"/>
    <n v="29.4"/>
    <n v="117.6"/>
    <x v="72"/>
    <d v="2025-03-15T00:00:00"/>
    <x v="1"/>
    <x v="2"/>
    <x v="2"/>
    <x v="0"/>
    <x v="33"/>
    <x v="3"/>
    <x v="10"/>
    <x v="1"/>
  </r>
  <r>
    <x v="1977"/>
    <x v="8"/>
    <x v="9"/>
    <n v="29.1"/>
    <n v="145.5"/>
    <x v="72"/>
    <d v="2025-03-22T00:00:00"/>
    <x v="3"/>
    <x v="2"/>
    <x v="1"/>
    <x v="0"/>
    <x v="33"/>
    <x v="9"/>
    <x v="10"/>
    <x v="3"/>
  </r>
  <r>
    <x v="1978"/>
    <x v="8"/>
    <x v="2"/>
    <n v="33.5"/>
    <n v="100.5"/>
    <x v="72"/>
    <d v="2025-03-26T00:00:00"/>
    <x v="1"/>
    <x v="0"/>
    <x v="2"/>
    <x v="0"/>
    <x v="22"/>
    <x v="13"/>
    <x v="10"/>
    <x v="1"/>
  </r>
  <r>
    <x v="1979"/>
    <x v="4"/>
    <x v="7"/>
    <n v="36"/>
    <n v="360"/>
    <x v="72"/>
    <d v="2025-03-14T00:00:00"/>
    <x v="1"/>
    <x v="3"/>
    <x v="2"/>
    <x v="0"/>
    <x v="3"/>
    <x v="7"/>
    <x v="10"/>
    <x v="1"/>
  </r>
  <r>
    <x v="1980"/>
    <x v="16"/>
    <x v="2"/>
    <n v="57.3"/>
    <n v="171.89999999999998"/>
    <x v="72"/>
    <d v="2025-03-18T00:00:00"/>
    <x v="2"/>
    <x v="0"/>
    <x v="2"/>
    <x v="0"/>
    <x v="3"/>
    <x v="5"/>
    <x v="10"/>
    <x v="2"/>
  </r>
  <r>
    <x v="1981"/>
    <x v="1"/>
    <x v="0"/>
    <n v="81.400000000000006"/>
    <n v="81.400000000000006"/>
    <x v="72"/>
    <d v="2025-03-15T00:00:00"/>
    <x v="2"/>
    <x v="2"/>
    <x v="2"/>
    <x v="0"/>
    <x v="3"/>
    <x v="3"/>
    <x v="10"/>
    <x v="2"/>
  </r>
  <r>
    <x v="1982"/>
    <x v="10"/>
    <x v="1"/>
    <n v="35.299999999999997"/>
    <n v="70.599999999999994"/>
    <x v="72"/>
    <d v="2025-03-18T00:00:00"/>
    <x v="1"/>
    <x v="0"/>
    <x v="2"/>
    <x v="0"/>
    <x v="3"/>
    <x v="5"/>
    <x v="10"/>
    <x v="1"/>
  </r>
  <r>
    <x v="1983"/>
    <x v="3"/>
    <x v="0"/>
    <n v="36.1"/>
    <n v="36.1"/>
    <x v="72"/>
    <d v="2025-03-15T00:00:00"/>
    <x v="2"/>
    <x v="4"/>
    <x v="0"/>
    <x v="0"/>
    <x v="3"/>
    <x v="3"/>
    <x v="10"/>
    <x v="2"/>
  </r>
  <r>
    <x v="1984"/>
    <x v="1"/>
    <x v="1"/>
    <n v="36.700000000000003"/>
    <n v="73.400000000000006"/>
    <x v="72"/>
    <d v="2025-03-16T00:00:00"/>
    <x v="2"/>
    <x v="0"/>
    <x v="2"/>
    <x v="0"/>
    <x v="3"/>
    <x v="1"/>
    <x v="10"/>
    <x v="2"/>
  </r>
  <r>
    <x v="1985"/>
    <x v="10"/>
    <x v="0"/>
    <n v="20.9"/>
    <n v="20.9"/>
    <x v="72"/>
    <d v="2025-03-16T00:00:00"/>
    <x v="2"/>
    <x v="0"/>
    <x v="4"/>
    <x v="0"/>
    <x v="3"/>
    <x v="1"/>
    <x v="10"/>
    <x v="2"/>
  </r>
  <r>
    <x v="1986"/>
    <x v="12"/>
    <x v="2"/>
    <n v="58.8"/>
    <n v="176.39999999999998"/>
    <x v="72"/>
    <d v="2025-03-18T00:00:00"/>
    <x v="1"/>
    <x v="0"/>
    <x v="2"/>
    <x v="0"/>
    <x v="25"/>
    <x v="5"/>
    <x v="10"/>
    <x v="1"/>
  </r>
  <r>
    <x v="1987"/>
    <x v="2"/>
    <x v="2"/>
    <n v="97.6"/>
    <n v="292.79999999999995"/>
    <x v="73"/>
    <d v="2025-03-17T00:00:00"/>
    <x v="0"/>
    <x v="0"/>
    <x v="0"/>
    <x v="0"/>
    <x v="6"/>
    <x v="1"/>
    <x v="10"/>
    <x v="0"/>
  </r>
  <r>
    <x v="1988"/>
    <x v="1"/>
    <x v="1"/>
    <n v="58.7"/>
    <n v="117.4"/>
    <x v="73"/>
    <d v="2025-03-18T00:00:00"/>
    <x v="2"/>
    <x v="0"/>
    <x v="1"/>
    <x v="0"/>
    <x v="6"/>
    <x v="2"/>
    <x v="10"/>
    <x v="2"/>
  </r>
  <r>
    <x v="1989"/>
    <x v="6"/>
    <x v="9"/>
    <n v="71.900000000000006"/>
    <n v="359.5"/>
    <x v="73"/>
    <d v="2025-03-16T00:00:00"/>
    <x v="0"/>
    <x v="0"/>
    <x v="1"/>
    <x v="0"/>
    <x v="6"/>
    <x v="3"/>
    <x v="10"/>
    <x v="0"/>
  </r>
  <r>
    <x v="1990"/>
    <x v="1"/>
    <x v="1"/>
    <n v="62.4"/>
    <n v="124.8"/>
    <x v="73"/>
    <d v="2025-03-17T00:00:00"/>
    <x v="0"/>
    <x v="0"/>
    <x v="1"/>
    <x v="0"/>
    <x v="8"/>
    <x v="1"/>
    <x v="10"/>
    <x v="0"/>
  </r>
  <r>
    <x v="1991"/>
    <x v="6"/>
    <x v="27"/>
    <n v="53.8"/>
    <n v="860.8"/>
    <x v="73"/>
    <d v="2025-03-16T00:00:00"/>
    <x v="2"/>
    <x v="1"/>
    <x v="0"/>
    <x v="0"/>
    <x v="8"/>
    <x v="3"/>
    <x v="10"/>
    <x v="2"/>
  </r>
  <r>
    <x v="1992"/>
    <x v="9"/>
    <x v="0"/>
    <n v="43.8"/>
    <n v="43.8"/>
    <x v="73"/>
    <d v="2025-03-22T00:00:00"/>
    <x v="2"/>
    <x v="0"/>
    <x v="2"/>
    <x v="0"/>
    <x v="8"/>
    <x v="6"/>
    <x v="10"/>
    <x v="2"/>
  </r>
  <r>
    <x v="1993"/>
    <x v="5"/>
    <x v="2"/>
    <n v="53.6"/>
    <n v="160.80000000000001"/>
    <x v="73"/>
    <d v="2025-03-16T00:00:00"/>
    <x v="1"/>
    <x v="3"/>
    <x v="0"/>
    <x v="0"/>
    <x v="8"/>
    <x v="3"/>
    <x v="10"/>
    <x v="1"/>
  </r>
  <r>
    <x v="1994"/>
    <x v="12"/>
    <x v="1"/>
    <n v="84.3"/>
    <n v="168.6"/>
    <x v="73"/>
    <d v="2025-03-18T00:00:00"/>
    <x v="1"/>
    <x v="4"/>
    <x v="1"/>
    <x v="0"/>
    <x v="8"/>
    <x v="2"/>
    <x v="10"/>
    <x v="1"/>
  </r>
  <r>
    <x v="1995"/>
    <x v="6"/>
    <x v="11"/>
    <n v="117.9"/>
    <n v="1061.1000000000001"/>
    <x v="73"/>
    <d v="2025-03-16T00:00:00"/>
    <x v="2"/>
    <x v="1"/>
    <x v="2"/>
    <x v="0"/>
    <x v="8"/>
    <x v="3"/>
    <x v="10"/>
    <x v="2"/>
  </r>
  <r>
    <x v="1996"/>
    <x v="4"/>
    <x v="8"/>
    <n v="30"/>
    <n v="240"/>
    <x v="73"/>
    <d v="2025-03-16T00:00:00"/>
    <x v="2"/>
    <x v="1"/>
    <x v="0"/>
    <x v="0"/>
    <x v="26"/>
    <x v="3"/>
    <x v="10"/>
    <x v="2"/>
  </r>
  <r>
    <x v="1997"/>
    <x v="14"/>
    <x v="2"/>
    <n v="37.299999999999997"/>
    <n v="111.89999999999999"/>
    <x v="73"/>
    <d v="2025-03-16T00:00:00"/>
    <x v="1"/>
    <x v="2"/>
    <x v="0"/>
    <x v="0"/>
    <x v="9"/>
    <x v="3"/>
    <x v="10"/>
    <x v="1"/>
  </r>
  <r>
    <x v="1998"/>
    <x v="4"/>
    <x v="11"/>
    <n v="25.1"/>
    <n v="225.9"/>
    <x v="73"/>
    <d v="2025-03-17T00:00:00"/>
    <x v="1"/>
    <x v="1"/>
    <x v="2"/>
    <x v="0"/>
    <x v="11"/>
    <x v="1"/>
    <x v="10"/>
    <x v="1"/>
  </r>
  <r>
    <x v="1999"/>
    <x v="8"/>
    <x v="5"/>
    <n v="36"/>
    <n v="396"/>
    <x v="73"/>
    <d v="2025-03-25T00:00:00"/>
    <x v="1"/>
    <x v="1"/>
    <x v="0"/>
    <x v="0"/>
    <x v="18"/>
    <x v="14"/>
    <x v="10"/>
    <x v="1"/>
  </r>
  <r>
    <x v="2000"/>
    <x v="16"/>
    <x v="2"/>
    <n v="48.5"/>
    <n v="145.5"/>
    <x v="73"/>
    <d v="2025-03-19T00:00:00"/>
    <x v="2"/>
    <x v="1"/>
    <x v="0"/>
    <x v="0"/>
    <x v="19"/>
    <x v="5"/>
    <x v="10"/>
    <x v="2"/>
  </r>
  <r>
    <x v="2001"/>
    <x v="17"/>
    <x v="13"/>
    <n v="21.1"/>
    <n v="126.60000000000001"/>
    <x v="73"/>
    <d v="2025-03-16T00:00:00"/>
    <x v="1"/>
    <x v="1"/>
    <x v="2"/>
    <x v="0"/>
    <x v="21"/>
    <x v="3"/>
    <x v="10"/>
    <x v="1"/>
  </r>
  <r>
    <x v="2002"/>
    <x v="15"/>
    <x v="21"/>
    <n v="43.2"/>
    <n v="604.80000000000007"/>
    <x v="73"/>
    <d v="2025-03-16T00:00:00"/>
    <x v="3"/>
    <x v="0"/>
    <x v="1"/>
    <x v="0"/>
    <x v="21"/>
    <x v="3"/>
    <x v="10"/>
    <x v="3"/>
  </r>
  <r>
    <x v="2003"/>
    <x v="9"/>
    <x v="1"/>
    <n v="21.1"/>
    <n v="42.2"/>
    <x v="73"/>
    <d v="2025-03-16T00:00:00"/>
    <x v="0"/>
    <x v="3"/>
    <x v="1"/>
    <x v="0"/>
    <x v="21"/>
    <x v="3"/>
    <x v="10"/>
    <x v="0"/>
  </r>
  <r>
    <x v="2004"/>
    <x v="6"/>
    <x v="12"/>
    <n v="41.3"/>
    <n v="165.2"/>
    <x v="73"/>
    <d v="2025-03-17T00:00:00"/>
    <x v="2"/>
    <x v="3"/>
    <x v="2"/>
    <x v="0"/>
    <x v="1"/>
    <x v="1"/>
    <x v="10"/>
    <x v="2"/>
  </r>
  <r>
    <x v="2005"/>
    <x v="8"/>
    <x v="1"/>
    <n v="15.3"/>
    <n v="30.6"/>
    <x v="73"/>
    <d v="2025-03-18T00:00:00"/>
    <x v="0"/>
    <x v="2"/>
    <x v="2"/>
    <x v="0"/>
    <x v="1"/>
    <x v="2"/>
    <x v="10"/>
    <x v="0"/>
  </r>
  <r>
    <x v="2006"/>
    <x v="1"/>
    <x v="0"/>
    <n v="54.6"/>
    <n v="54.6"/>
    <x v="73"/>
    <d v="2025-03-17T00:00:00"/>
    <x v="1"/>
    <x v="1"/>
    <x v="1"/>
    <x v="0"/>
    <x v="2"/>
    <x v="1"/>
    <x v="10"/>
    <x v="1"/>
  </r>
  <r>
    <x v="2007"/>
    <x v="8"/>
    <x v="0"/>
    <n v="15.9"/>
    <n v="15.9"/>
    <x v="73"/>
    <d v="2025-03-16T00:00:00"/>
    <x v="1"/>
    <x v="0"/>
    <x v="1"/>
    <x v="0"/>
    <x v="22"/>
    <x v="3"/>
    <x v="10"/>
    <x v="1"/>
  </r>
  <r>
    <x v="2008"/>
    <x v="9"/>
    <x v="0"/>
    <n v="50.2"/>
    <n v="50.2"/>
    <x v="73"/>
    <d v="2025-03-17T00:00:00"/>
    <x v="2"/>
    <x v="3"/>
    <x v="2"/>
    <x v="0"/>
    <x v="34"/>
    <x v="1"/>
    <x v="10"/>
    <x v="2"/>
  </r>
  <r>
    <x v="2009"/>
    <x v="11"/>
    <x v="12"/>
    <n v="85.1"/>
    <n v="340.4"/>
    <x v="73"/>
    <d v="2025-03-16T00:00:00"/>
    <x v="2"/>
    <x v="3"/>
    <x v="4"/>
    <x v="0"/>
    <x v="34"/>
    <x v="3"/>
    <x v="10"/>
    <x v="2"/>
  </r>
  <r>
    <x v="2010"/>
    <x v="11"/>
    <x v="1"/>
    <n v="41.4"/>
    <n v="82.8"/>
    <x v="73"/>
    <d v="2025-03-16T00:00:00"/>
    <x v="2"/>
    <x v="0"/>
    <x v="2"/>
    <x v="0"/>
    <x v="3"/>
    <x v="3"/>
    <x v="10"/>
    <x v="2"/>
  </r>
  <r>
    <x v="2011"/>
    <x v="4"/>
    <x v="3"/>
    <n v="32.700000000000003"/>
    <n v="228.90000000000003"/>
    <x v="73"/>
    <d v="2025-03-16T00:00:00"/>
    <x v="2"/>
    <x v="2"/>
    <x v="1"/>
    <x v="0"/>
    <x v="3"/>
    <x v="3"/>
    <x v="10"/>
    <x v="2"/>
  </r>
  <r>
    <x v="2012"/>
    <x v="4"/>
    <x v="1"/>
    <n v="41.6"/>
    <n v="83.2"/>
    <x v="73"/>
    <d v="2025-03-17T00:00:00"/>
    <x v="1"/>
    <x v="4"/>
    <x v="1"/>
    <x v="0"/>
    <x v="3"/>
    <x v="1"/>
    <x v="10"/>
    <x v="1"/>
  </r>
  <r>
    <x v="2013"/>
    <x v="5"/>
    <x v="12"/>
    <n v="64.8"/>
    <n v="259.2"/>
    <x v="73"/>
    <d v="2025-03-16T00:00:00"/>
    <x v="0"/>
    <x v="2"/>
    <x v="0"/>
    <x v="0"/>
    <x v="3"/>
    <x v="3"/>
    <x v="10"/>
    <x v="0"/>
  </r>
  <r>
    <x v="2014"/>
    <x v="15"/>
    <x v="1"/>
    <n v="33.6"/>
    <n v="67.2"/>
    <x v="73"/>
    <d v="2025-03-16T00:00:00"/>
    <x v="1"/>
    <x v="0"/>
    <x v="2"/>
    <x v="0"/>
    <x v="3"/>
    <x v="3"/>
    <x v="10"/>
    <x v="1"/>
  </r>
  <r>
    <x v="2015"/>
    <x v="6"/>
    <x v="2"/>
    <n v="100.7"/>
    <n v="302.10000000000002"/>
    <x v="73"/>
    <d v="2025-03-16T00:00:00"/>
    <x v="0"/>
    <x v="1"/>
    <x v="0"/>
    <x v="0"/>
    <x v="3"/>
    <x v="3"/>
    <x v="10"/>
    <x v="0"/>
  </r>
  <r>
    <x v="2016"/>
    <x v="4"/>
    <x v="1"/>
    <n v="49.3"/>
    <n v="98.6"/>
    <x v="74"/>
    <d v="2025-03-18T00:00:00"/>
    <x v="2"/>
    <x v="4"/>
    <x v="2"/>
    <x v="0"/>
    <x v="3"/>
    <x v="1"/>
    <x v="11"/>
    <x v="2"/>
  </r>
  <r>
    <x v="2017"/>
    <x v="2"/>
    <x v="13"/>
    <n v="97"/>
    <n v="582"/>
    <x v="74"/>
    <d v="2025-03-19T00:00:00"/>
    <x v="1"/>
    <x v="2"/>
    <x v="2"/>
    <x v="0"/>
    <x v="3"/>
    <x v="2"/>
    <x v="11"/>
    <x v="1"/>
  </r>
  <r>
    <x v="2018"/>
    <x v="0"/>
    <x v="13"/>
    <n v="25.2"/>
    <n v="151.19999999999999"/>
    <x v="74"/>
    <d v="2025-03-19T00:00:00"/>
    <x v="2"/>
    <x v="4"/>
    <x v="2"/>
    <x v="0"/>
    <x v="3"/>
    <x v="2"/>
    <x v="11"/>
    <x v="2"/>
  </r>
  <r>
    <x v="2019"/>
    <x v="0"/>
    <x v="5"/>
    <n v="12.2"/>
    <n v="134.19999999999999"/>
    <x v="74"/>
    <d v="2025-03-17T00:00:00"/>
    <x v="0"/>
    <x v="0"/>
    <x v="1"/>
    <x v="0"/>
    <x v="3"/>
    <x v="3"/>
    <x v="11"/>
    <x v="0"/>
  </r>
  <r>
    <x v="2020"/>
    <x v="8"/>
    <x v="3"/>
    <n v="38.799999999999997"/>
    <n v="271.59999999999997"/>
    <x v="74"/>
    <d v="2025-03-18T00:00:00"/>
    <x v="2"/>
    <x v="1"/>
    <x v="1"/>
    <x v="0"/>
    <x v="23"/>
    <x v="1"/>
    <x v="11"/>
    <x v="2"/>
  </r>
  <r>
    <x v="2021"/>
    <x v="2"/>
    <x v="12"/>
    <n v="53.2"/>
    <n v="212.8"/>
    <x v="74"/>
    <d v="2025-03-17T00:00:00"/>
    <x v="1"/>
    <x v="0"/>
    <x v="2"/>
    <x v="0"/>
    <x v="8"/>
    <x v="3"/>
    <x v="11"/>
    <x v="1"/>
  </r>
  <r>
    <x v="2022"/>
    <x v="6"/>
    <x v="3"/>
    <n v="151"/>
    <n v="1057"/>
    <x v="74"/>
    <d v="2025-03-17T00:00:00"/>
    <x v="3"/>
    <x v="1"/>
    <x v="1"/>
    <x v="0"/>
    <x v="8"/>
    <x v="3"/>
    <x v="11"/>
    <x v="3"/>
  </r>
  <r>
    <x v="2023"/>
    <x v="1"/>
    <x v="1"/>
    <n v="37.1"/>
    <n v="74.2"/>
    <x v="74"/>
    <d v="2025-03-17T00:00:00"/>
    <x v="2"/>
    <x v="4"/>
    <x v="0"/>
    <x v="0"/>
    <x v="8"/>
    <x v="3"/>
    <x v="11"/>
    <x v="2"/>
  </r>
  <r>
    <x v="2024"/>
    <x v="5"/>
    <x v="1"/>
    <n v="38.9"/>
    <n v="77.8"/>
    <x v="74"/>
    <d v="2025-03-17T00:00:00"/>
    <x v="1"/>
    <x v="4"/>
    <x v="0"/>
    <x v="0"/>
    <x v="8"/>
    <x v="3"/>
    <x v="11"/>
    <x v="1"/>
  </r>
  <r>
    <x v="2025"/>
    <x v="10"/>
    <x v="1"/>
    <n v="35.200000000000003"/>
    <n v="70.400000000000006"/>
    <x v="74"/>
    <d v="2025-03-17T00:00:00"/>
    <x v="1"/>
    <x v="0"/>
    <x v="2"/>
    <x v="0"/>
    <x v="17"/>
    <x v="3"/>
    <x v="11"/>
    <x v="1"/>
  </r>
  <r>
    <x v="2026"/>
    <x v="0"/>
    <x v="1"/>
    <n v="22.3"/>
    <n v="44.6"/>
    <x v="74"/>
    <d v="2025-03-18T00:00:00"/>
    <x v="2"/>
    <x v="1"/>
    <x v="0"/>
    <x v="0"/>
    <x v="9"/>
    <x v="1"/>
    <x v="11"/>
    <x v="2"/>
  </r>
  <r>
    <x v="2027"/>
    <x v="9"/>
    <x v="0"/>
    <n v="43.3"/>
    <n v="43.3"/>
    <x v="74"/>
    <d v="2025-03-19T00:00:00"/>
    <x v="2"/>
    <x v="0"/>
    <x v="2"/>
    <x v="0"/>
    <x v="11"/>
    <x v="2"/>
    <x v="11"/>
    <x v="2"/>
  </r>
  <r>
    <x v="2028"/>
    <x v="6"/>
    <x v="13"/>
    <n v="75.900000000000006"/>
    <n v="455.40000000000003"/>
    <x v="74"/>
    <d v="2025-03-22T00:00:00"/>
    <x v="1"/>
    <x v="0"/>
    <x v="0"/>
    <x v="0"/>
    <x v="11"/>
    <x v="4"/>
    <x v="11"/>
    <x v="1"/>
  </r>
  <r>
    <x v="2029"/>
    <x v="6"/>
    <x v="2"/>
    <n v="78.7"/>
    <n v="236.10000000000002"/>
    <x v="74"/>
    <d v="2025-03-20T00:00:00"/>
    <x v="2"/>
    <x v="2"/>
    <x v="1"/>
    <x v="0"/>
    <x v="11"/>
    <x v="5"/>
    <x v="11"/>
    <x v="2"/>
  </r>
  <r>
    <x v="2030"/>
    <x v="1"/>
    <x v="0"/>
    <n v="66.3"/>
    <n v="66.3"/>
    <x v="74"/>
    <d v="2025-03-20T00:00:00"/>
    <x v="2"/>
    <x v="0"/>
    <x v="2"/>
    <x v="0"/>
    <x v="19"/>
    <x v="5"/>
    <x v="11"/>
    <x v="2"/>
  </r>
  <r>
    <x v="2031"/>
    <x v="8"/>
    <x v="1"/>
    <n v="33.6"/>
    <n v="67.2"/>
    <x v="74"/>
    <d v="2025-03-16T00:00:00"/>
    <x v="1"/>
    <x v="0"/>
    <x v="1"/>
    <x v="0"/>
    <x v="19"/>
    <x v="7"/>
    <x v="11"/>
    <x v="1"/>
  </r>
  <r>
    <x v="2032"/>
    <x v="2"/>
    <x v="3"/>
    <n v="61.4"/>
    <n v="429.8"/>
    <x v="74"/>
    <d v="2025-03-17T00:00:00"/>
    <x v="1"/>
    <x v="4"/>
    <x v="0"/>
    <x v="0"/>
    <x v="19"/>
    <x v="3"/>
    <x v="11"/>
    <x v="1"/>
  </r>
  <r>
    <x v="2033"/>
    <x v="8"/>
    <x v="1"/>
    <n v="17.5"/>
    <n v="35"/>
    <x v="74"/>
    <d v="2025-03-19T00:00:00"/>
    <x v="2"/>
    <x v="0"/>
    <x v="0"/>
    <x v="0"/>
    <x v="21"/>
    <x v="2"/>
    <x v="11"/>
    <x v="2"/>
  </r>
  <r>
    <x v="2034"/>
    <x v="8"/>
    <x v="1"/>
    <n v="32.5"/>
    <n v="65"/>
    <x v="74"/>
    <d v="2025-03-19T00:00:00"/>
    <x v="2"/>
    <x v="1"/>
    <x v="0"/>
    <x v="0"/>
    <x v="21"/>
    <x v="2"/>
    <x v="11"/>
    <x v="2"/>
  </r>
  <r>
    <x v="2035"/>
    <x v="4"/>
    <x v="0"/>
    <n v="34.6"/>
    <n v="34.6"/>
    <x v="74"/>
    <d v="2025-03-17T00:00:00"/>
    <x v="2"/>
    <x v="4"/>
    <x v="0"/>
    <x v="0"/>
    <x v="21"/>
    <x v="3"/>
    <x v="11"/>
    <x v="2"/>
  </r>
  <r>
    <x v="2036"/>
    <x v="2"/>
    <x v="0"/>
    <n v="75.900000000000006"/>
    <n v="75.900000000000006"/>
    <x v="74"/>
    <d v="2025-03-16T00:00:00"/>
    <x v="1"/>
    <x v="1"/>
    <x v="2"/>
    <x v="0"/>
    <x v="21"/>
    <x v="7"/>
    <x v="11"/>
    <x v="1"/>
  </r>
  <r>
    <x v="2037"/>
    <x v="1"/>
    <x v="2"/>
    <n v="42.1"/>
    <n v="126.30000000000001"/>
    <x v="74"/>
    <d v="2025-03-19T00:00:00"/>
    <x v="1"/>
    <x v="1"/>
    <x v="1"/>
    <x v="0"/>
    <x v="21"/>
    <x v="2"/>
    <x v="11"/>
    <x v="1"/>
  </r>
  <r>
    <x v="2038"/>
    <x v="7"/>
    <x v="2"/>
    <n v="65.3"/>
    <n v="195.89999999999998"/>
    <x v="74"/>
    <d v="2025-03-23T00:00:00"/>
    <x v="1"/>
    <x v="0"/>
    <x v="0"/>
    <x v="0"/>
    <x v="1"/>
    <x v="6"/>
    <x v="11"/>
    <x v="1"/>
  </r>
  <r>
    <x v="2039"/>
    <x v="15"/>
    <x v="0"/>
    <n v="20.6"/>
    <n v="20.6"/>
    <x v="74"/>
    <d v="2025-03-19T00:00:00"/>
    <x v="1"/>
    <x v="3"/>
    <x v="0"/>
    <x v="0"/>
    <x v="42"/>
    <x v="2"/>
    <x v="11"/>
    <x v="1"/>
  </r>
  <r>
    <x v="2040"/>
    <x v="8"/>
    <x v="3"/>
    <n v="16.5"/>
    <n v="115.5"/>
    <x v="74"/>
    <d v="2025-03-17T00:00:00"/>
    <x v="1"/>
    <x v="1"/>
    <x v="1"/>
    <x v="0"/>
    <x v="2"/>
    <x v="3"/>
    <x v="11"/>
    <x v="1"/>
  </r>
  <r>
    <x v="2041"/>
    <x v="16"/>
    <x v="7"/>
    <n v="36.200000000000003"/>
    <n v="362"/>
    <x v="74"/>
    <d v="2025-03-18T00:00:00"/>
    <x v="1"/>
    <x v="0"/>
    <x v="2"/>
    <x v="0"/>
    <x v="2"/>
    <x v="1"/>
    <x v="11"/>
    <x v="1"/>
  </r>
  <r>
    <x v="2042"/>
    <x v="6"/>
    <x v="0"/>
    <n v="53.2"/>
    <n v="53.2"/>
    <x v="74"/>
    <d v="2025-03-17T00:00:00"/>
    <x v="2"/>
    <x v="0"/>
    <x v="1"/>
    <x v="0"/>
    <x v="22"/>
    <x v="3"/>
    <x v="11"/>
    <x v="2"/>
  </r>
  <r>
    <x v="2043"/>
    <x v="2"/>
    <x v="21"/>
    <n v="176"/>
    <n v="2464"/>
    <x v="74"/>
    <d v="2025-03-17T00:00:00"/>
    <x v="2"/>
    <x v="0"/>
    <x v="1"/>
    <x v="0"/>
    <x v="3"/>
    <x v="3"/>
    <x v="11"/>
    <x v="2"/>
  </r>
  <r>
    <x v="2044"/>
    <x v="1"/>
    <x v="0"/>
    <n v="52.4"/>
    <n v="52.4"/>
    <x v="74"/>
    <d v="2025-03-17T00:00:00"/>
    <x v="1"/>
    <x v="1"/>
    <x v="0"/>
    <x v="0"/>
    <x v="3"/>
    <x v="3"/>
    <x v="11"/>
    <x v="1"/>
  </r>
  <r>
    <x v="2045"/>
    <x v="10"/>
    <x v="2"/>
    <n v="48.2"/>
    <n v="144.60000000000002"/>
    <x v="74"/>
    <d v="2025-03-17T00:00:00"/>
    <x v="2"/>
    <x v="1"/>
    <x v="2"/>
    <x v="0"/>
    <x v="3"/>
    <x v="3"/>
    <x v="11"/>
    <x v="2"/>
  </r>
  <r>
    <x v="2046"/>
    <x v="15"/>
    <x v="0"/>
    <n v="51.6"/>
    <n v="51.6"/>
    <x v="74"/>
    <d v="2025-03-20T00:00:00"/>
    <x v="2"/>
    <x v="2"/>
    <x v="1"/>
    <x v="0"/>
    <x v="3"/>
    <x v="5"/>
    <x v="11"/>
    <x v="2"/>
  </r>
  <r>
    <x v="2047"/>
    <x v="0"/>
    <x v="12"/>
    <n v="33.700000000000003"/>
    <n v="134.80000000000001"/>
    <x v="75"/>
    <d v="2025-03-18T00:00:00"/>
    <x v="1"/>
    <x v="0"/>
    <x v="0"/>
    <x v="0"/>
    <x v="3"/>
    <x v="3"/>
    <x v="11"/>
    <x v="1"/>
  </r>
  <r>
    <x v="2048"/>
    <x v="4"/>
    <x v="7"/>
    <n v="36.299999999999997"/>
    <n v="363"/>
    <x v="75"/>
    <d v="2025-03-19T00:00:00"/>
    <x v="2"/>
    <x v="4"/>
    <x v="1"/>
    <x v="0"/>
    <x v="3"/>
    <x v="1"/>
    <x v="11"/>
    <x v="2"/>
  </r>
  <r>
    <x v="2049"/>
    <x v="8"/>
    <x v="0"/>
    <n v="23.4"/>
    <n v="23.4"/>
    <x v="75"/>
    <d v="2025-03-22T00:00:00"/>
    <x v="2"/>
    <x v="1"/>
    <x v="2"/>
    <x v="0"/>
    <x v="3"/>
    <x v="0"/>
    <x v="11"/>
    <x v="2"/>
  </r>
  <r>
    <x v="2050"/>
    <x v="15"/>
    <x v="8"/>
    <n v="56.6"/>
    <n v="452.8"/>
    <x v="75"/>
    <d v="2025-03-19T00:00:00"/>
    <x v="2"/>
    <x v="1"/>
    <x v="0"/>
    <x v="0"/>
    <x v="3"/>
    <x v="1"/>
    <x v="11"/>
    <x v="2"/>
  </r>
  <r>
    <x v="2051"/>
    <x v="15"/>
    <x v="1"/>
    <n v="26.8"/>
    <n v="53.6"/>
    <x v="75"/>
    <d v="2025-03-18T00:00:00"/>
    <x v="1"/>
    <x v="0"/>
    <x v="0"/>
    <x v="0"/>
    <x v="4"/>
    <x v="3"/>
    <x v="11"/>
    <x v="1"/>
  </r>
  <r>
    <x v="2052"/>
    <x v="0"/>
    <x v="2"/>
    <n v="11.3"/>
    <n v="33.900000000000006"/>
    <x v="75"/>
    <d v="2025-03-19T00:00:00"/>
    <x v="1"/>
    <x v="2"/>
    <x v="0"/>
    <x v="0"/>
    <x v="25"/>
    <x v="1"/>
    <x v="11"/>
    <x v="1"/>
  </r>
  <r>
    <x v="2053"/>
    <x v="6"/>
    <x v="2"/>
    <n v="60.1"/>
    <n v="180.3"/>
    <x v="75"/>
    <d v="2025-03-20T00:00:00"/>
    <x v="2"/>
    <x v="0"/>
    <x v="0"/>
    <x v="0"/>
    <x v="7"/>
    <x v="2"/>
    <x v="11"/>
    <x v="2"/>
  </r>
  <r>
    <x v="2054"/>
    <x v="0"/>
    <x v="5"/>
    <n v="27.7"/>
    <n v="304.7"/>
    <x v="75"/>
    <d v="2025-03-22T00:00:00"/>
    <x v="2"/>
    <x v="0"/>
    <x v="0"/>
    <x v="0"/>
    <x v="8"/>
    <x v="0"/>
    <x v="11"/>
    <x v="2"/>
  </r>
  <r>
    <x v="2055"/>
    <x v="15"/>
    <x v="0"/>
    <n v="71.400000000000006"/>
    <n v="71.400000000000006"/>
    <x v="75"/>
    <d v="2025-03-20T00:00:00"/>
    <x v="1"/>
    <x v="0"/>
    <x v="2"/>
    <x v="0"/>
    <x v="8"/>
    <x v="2"/>
    <x v="11"/>
    <x v="1"/>
  </r>
  <r>
    <x v="2056"/>
    <x v="2"/>
    <x v="1"/>
    <n v="66.7"/>
    <n v="133.4"/>
    <x v="75"/>
    <d v="2025-03-18T00:00:00"/>
    <x v="2"/>
    <x v="0"/>
    <x v="2"/>
    <x v="0"/>
    <x v="8"/>
    <x v="3"/>
    <x v="11"/>
    <x v="2"/>
  </r>
  <r>
    <x v="2057"/>
    <x v="13"/>
    <x v="9"/>
    <n v="39.1"/>
    <n v="195.5"/>
    <x v="75"/>
    <d v="2025-03-18T00:00:00"/>
    <x v="2"/>
    <x v="0"/>
    <x v="0"/>
    <x v="0"/>
    <x v="8"/>
    <x v="3"/>
    <x v="11"/>
    <x v="2"/>
  </r>
  <r>
    <x v="2058"/>
    <x v="8"/>
    <x v="12"/>
    <n v="24.9"/>
    <n v="99.6"/>
    <x v="75"/>
    <d v="2025-03-22T00:00:00"/>
    <x v="1"/>
    <x v="1"/>
    <x v="2"/>
    <x v="0"/>
    <x v="8"/>
    <x v="0"/>
    <x v="11"/>
    <x v="1"/>
  </r>
  <r>
    <x v="2059"/>
    <x v="5"/>
    <x v="9"/>
    <n v="29.2"/>
    <n v="146"/>
    <x v="75"/>
    <d v="2025-03-18T00:00:00"/>
    <x v="1"/>
    <x v="0"/>
    <x v="2"/>
    <x v="0"/>
    <x v="17"/>
    <x v="3"/>
    <x v="11"/>
    <x v="1"/>
  </r>
  <r>
    <x v="2060"/>
    <x v="13"/>
    <x v="21"/>
    <n v="28.3"/>
    <n v="396.2"/>
    <x v="75"/>
    <d v="2025-03-19T00:00:00"/>
    <x v="2"/>
    <x v="1"/>
    <x v="0"/>
    <x v="0"/>
    <x v="11"/>
    <x v="1"/>
    <x v="11"/>
    <x v="2"/>
  </r>
  <r>
    <x v="2061"/>
    <x v="9"/>
    <x v="2"/>
    <n v="37.799999999999997"/>
    <n v="113.39999999999999"/>
    <x v="75"/>
    <d v="2025-03-18T00:00:00"/>
    <x v="2"/>
    <x v="0"/>
    <x v="1"/>
    <x v="0"/>
    <x v="11"/>
    <x v="3"/>
    <x v="11"/>
    <x v="2"/>
  </r>
  <r>
    <x v="2062"/>
    <x v="14"/>
    <x v="3"/>
    <n v="28.1"/>
    <n v="196.70000000000002"/>
    <x v="75"/>
    <d v="2025-03-23T00:00:00"/>
    <x v="2"/>
    <x v="2"/>
    <x v="0"/>
    <x v="0"/>
    <x v="11"/>
    <x v="4"/>
    <x v="11"/>
    <x v="2"/>
  </r>
  <r>
    <x v="2063"/>
    <x v="1"/>
    <x v="2"/>
    <n v="59.7"/>
    <n v="179.10000000000002"/>
    <x v="75"/>
    <d v="2025-03-19T00:00:00"/>
    <x v="2"/>
    <x v="2"/>
    <x v="0"/>
    <x v="0"/>
    <x v="11"/>
    <x v="1"/>
    <x v="11"/>
    <x v="2"/>
  </r>
  <r>
    <x v="2064"/>
    <x v="16"/>
    <x v="0"/>
    <n v="71.900000000000006"/>
    <n v="71.900000000000006"/>
    <x v="75"/>
    <d v="2025-03-18T00:00:00"/>
    <x v="1"/>
    <x v="1"/>
    <x v="1"/>
    <x v="0"/>
    <x v="11"/>
    <x v="3"/>
    <x v="11"/>
    <x v="1"/>
  </r>
  <r>
    <x v="2065"/>
    <x v="1"/>
    <x v="1"/>
    <n v="56.9"/>
    <n v="113.8"/>
    <x v="75"/>
    <d v="2025-03-18T00:00:00"/>
    <x v="1"/>
    <x v="2"/>
    <x v="0"/>
    <x v="0"/>
    <x v="13"/>
    <x v="3"/>
    <x v="11"/>
    <x v="1"/>
  </r>
  <r>
    <x v="2066"/>
    <x v="8"/>
    <x v="1"/>
    <n v="15.8"/>
    <n v="31.6"/>
    <x v="75"/>
    <d v="2025-03-20T00:00:00"/>
    <x v="2"/>
    <x v="2"/>
    <x v="1"/>
    <x v="0"/>
    <x v="1"/>
    <x v="2"/>
    <x v="11"/>
    <x v="2"/>
  </r>
  <r>
    <x v="2067"/>
    <x v="11"/>
    <x v="12"/>
    <n v="61.7"/>
    <n v="246.8"/>
    <x v="75"/>
    <d v="2025-03-19T00:00:00"/>
    <x v="2"/>
    <x v="2"/>
    <x v="0"/>
    <x v="0"/>
    <x v="22"/>
    <x v="1"/>
    <x v="11"/>
    <x v="2"/>
  </r>
  <r>
    <x v="2068"/>
    <x v="2"/>
    <x v="7"/>
    <n v="105.2"/>
    <n v="1052"/>
    <x v="75"/>
    <d v="2025-03-19T00:00:00"/>
    <x v="1"/>
    <x v="1"/>
    <x v="4"/>
    <x v="0"/>
    <x v="3"/>
    <x v="1"/>
    <x v="11"/>
    <x v="1"/>
  </r>
  <r>
    <x v="2069"/>
    <x v="0"/>
    <x v="1"/>
    <n v="17"/>
    <n v="34"/>
    <x v="75"/>
    <d v="2025-03-19T00:00:00"/>
    <x v="2"/>
    <x v="2"/>
    <x v="0"/>
    <x v="0"/>
    <x v="3"/>
    <x v="1"/>
    <x v="11"/>
    <x v="2"/>
  </r>
  <r>
    <x v="2070"/>
    <x v="6"/>
    <x v="2"/>
    <n v="84.1"/>
    <n v="252.29999999999998"/>
    <x v="75"/>
    <d v="2025-03-18T00:00:00"/>
    <x v="1"/>
    <x v="2"/>
    <x v="0"/>
    <x v="0"/>
    <x v="3"/>
    <x v="3"/>
    <x v="11"/>
    <x v="1"/>
  </r>
  <r>
    <x v="2071"/>
    <x v="3"/>
    <x v="12"/>
    <n v="59.5"/>
    <n v="238"/>
    <x v="75"/>
    <d v="2025-03-22T00:00:00"/>
    <x v="1"/>
    <x v="0"/>
    <x v="2"/>
    <x v="0"/>
    <x v="3"/>
    <x v="0"/>
    <x v="11"/>
    <x v="1"/>
  </r>
  <r>
    <x v="2072"/>
    <x v="8"/>
    <x v="1"/>
    <n v="57.5"/>
    <n v="115"/>
    <x v="75"/>
    <d v="2025-03-19T00:00:00"/>
    <x v="1"/>
    <x v="1"/>
    <x v="2"/>
    <x v="0"/>
    <x v="3"/>
    <x v="1"/>
    <x v="11"/>
    <x v="1"/>
  </r>
  <r>
    <x v="2073"/>
    <x v="8"/>
    <x v="0"/>
    <n v="34.299999999999997"/>
    <n v="34.299999999999997"/>
    <x v="75"/>
    <d v="2025-03-18T00:00:00"/>
    <x v="2"/>
    <x v="4"/>
    <x v="2"/>
    <x v="0"/>
    <x v="3"/>
    <x v="3"/>
    <x v="11"/>
    <x v="2"/>
  </r>
  <r>
    <x v="2074"/>
    <x v="5"/>
    <x v="1"/>
    <n v="27.8"/>
    <n v="55.6"/>
    <x v="76"/>
    <d v="2025-03-20T00:00:00"/>
    <x v="2"/>
    <x v="0"/>
    <x v="0"/>
    <x v="0"/>
    <x v="3"/>
    <x v="1"/>
    <x v="11"/>
    <x v="2"/>
  </r>
  <r>
    <x v="2075"/>
    <x v="12"/>
    <x v="1"/>
    <n v="85"/>
    <n v="170"/>
    <x v="76"/>
    <d v="2025-03-18T00:00:00"/>
    <x v="1"/>
    <x v="2"/>
    <x v="2"/>
    <x v="0"/>
    <x v="3"/>
    <x v="7"/>
    <x v="11"/>
    <x v="1"/>
  </r>
  <r>
    <x v="2076"/>
    <x v="6"/>
    <x v="1"/>
    <n v="95"/>
    <n v="190"/>
    <x v="76"/>
    <d v="2025-03-20T00:00:00"/>
    <x v="2"/>
    <x v="0"/>
    <x v="0"/>
    <x v="0"/>
    <x v="3"/>
    <x v="1"/>
    <x v="11"/>
    <x v="2"/>
  </r>
  <r>
    <x v="2077"/>
    <x v="16"/>
    <x v="1"/>
    <n v="32"/>
    <n v="64"/>
    <x v="76"/>
    <d v="2025-03-20T00:00:00"/>
    <x v="1"/>
    <x v="0"/>
    <x v="1"/>
    <x v="0"/>
    <x v="3"/>
    <x v="1"/>
    <x v="11"/>
    <x v="1"/>
  </r>
  <r>
    <x v="2078"/>
    <x v="2"/>
    <x v="1"/>
    <n v="65.2"/>
    <n v="130.4"/>
    <x v="76"/>
    <d v="2025-03-19T00:00:00"/>
    <x v="2"/>
    <x v="1"/>
    <x v="0"/>
    <x v="0"/>
    <x v="3"/>
    <x v="3"/>
    <x v="11"/>
    <x v="2"/>
  </r>
  <r>
    <x v="2079"/>
    <x v="17"/>
    <x v="12"/>
    <n v="22"/>
    <n v="88"/>
    <x v="76"/>
    <d v="2025-03-19T00:00:00"/>
    <x v="1"/>
    <x v="1"/>
    <x v="2"/>
    <x v="0"/>
    <x v="3"/>
    <x v="3"/>
    <x v="11"/>
    <x v="1"/>
  </r>
  <r>
    <x v="2080"/>
    <x v="15"/>
    <x v="2"/>
    <n v="69.400000000000006"/>
    <n v="208.20000000000002"/>
    <x v="76"/>
    <d v="2025-03-21T00:00:00"/>
    <x v="1"/>
    <x v="1"/>
    <x v="2"/>
    <x v="0"/>
    <x v="3"/>
    <x v="2"/>
    <x v="11"/>
    <x v="1"/>
  </r>
  <r>
    <x v="2081"/>
    <x v="10"/>
    <x v="13"/>
    <n v="31.5"/>
    <n v="189"/>
    <x v="76"/>
    <d v="2025-03-20T00:00:00"/>
    <x v="2"/>
    <x v="0"/>
    <x v="2"/>
    <x v="0"/>
    <x v="3"/>
    <x v="1"/>
    <x v="11"/>
    <x v="2"/>
  </r>
  <r>
    <x v="2082"/>
    <x v="6"/>
    <x v="0"/>
    <n v="45.8"/>
    <n v="45.8"/>
    <x v="76"/>
    <d v="2025-03-22T00:00:00"/>
    <x v="3"/>
    <x v="0"/>
    <x v="0"/>
    <x v="0"/>
    <x v="3"/>
    <x v="5"/>
    <x v="11"/>
    <x v="3"/>
  </r>
  <r>
    <x v="2083"/>
    <x v="19"/>
    <x v="12"/>
    <n v="12.8"/>
    <n v="51.2"/>
    <x v="76"/>
    <d v="2025-03-25T00:00:00"/>
    <x v="2"/>
    <x v="1"/>
    <x v="1"/>
    <x v="0"/>
    <x v="5"/>
    <x v="6"/>
    <x v="11"/>
    <x v="2"/>
  </r>
  <r>
    <x v="2084"/>
    <x v="5"/>
    <x v="2"/>
    <n v="115.3"/>
    <n v="345.9"/>
    <x v="76"/>
    <d v="2025-03-19T00:00:00"/>
    <x v="2"/>
    <x v="2"/>
    <x v="2"/>
    <x v="0"/>
    <x v="6"/>
    <x v="3"/>
    <x v="11"/>
    <x v="2"/>
  </r>
  <r>
    <x v="2085"/>
    <x v="5"/>
    <x v="1"/>
    <n v="85"/>
    <n v="170"/>
    <x v="76"/>
    <d v="2025-03-20T00:00:00"/>
    <x v="2"/>
    <x v="1"/>
    <x v="0"/>
    <x v="0"/>
    <x v="7"/>
    <x v="1"/>
    <x v="11"/>
    <x v="2"/>
  </r>
  <r>
    <x v="2086"/>
    <x v="8"/>
    <x v="2"/>
    <n v="56.6"/>
    <n v="169.8"/>
    <x v="76"/>
    <d v="2025-03-19T00:00:00"/>
    <x v="2"/>
    <x v="1"/>
    <x v="2"/>
    <x v="0"/>
    <x v="7"/>
    <x v="3"/>
    <x v="11"/>
    <x v="2"/>
  </r>
  <r>
    <x v="2087"/>
    <x v="15"/>
    <x v="6"/>
    <n v="46.3"/>
    <n v="1250.0999999999999"/>
    <x v="76"/>
    <d v="2025-03-21T00:00:00"/>
    <x v="1"/>
    <x v="0"/>
    <x v="0"/>
    <x v="0"/>
    <x v="7"/>
    <x v="2"/>
    <x v="11"/>
    <x v="1"/>
  </r>
  <r>
    <x v="2088"/>
    <x v="14"/>
    <x v="12"/>
    <n v="23"/>
    <n v="92"/>
    <x v="76"/>
    <d v="2025-03-22T00:00:00"/>
    <x v="1"/>
    <x v="3"/>
    <x v="2"/>
    <x v="0"/>
    <x v="7"/>
    <x v="5"/>
    <x v="11"/>
    <x v="1"/>
  </r>
  <r>
    <x v="2089"/>
    <x v="8"/>
    <x v="13"/>
    <n v="42.1"/>
    <n v="252.60000000000002"/>
    <x v="76"/>
    <d v="2025-03-20T00:00:00"/>
    <x v="1"/>
    <x v="4"/>
    <x v="0"/>
    <x v="0"/>
    <x v="8"/>
    <x v="1"/>
    <x v="11"/>
    <x v="1"/>
  </r>
  <r>
    <x v="2090"/>
    <x v="5"/>
    <x v="3"/>
    <n v="57.4"/>
    <n v="401.8"/>
    <x v="76"/>
    <d v="2025-03-22T00:00:00"/>
    <x v="2"/>
    <x v="1"/>
    <x v="4"/>
    <x v="0"/>
    <x v="8"/>
    <x v="5"/>
    <x v="11"/>
    <x v="2"/>
  </r>
  <r>
    <x v="2091"/>
    <x v="0"/>
    <x v="13"/>
    <n v="13.2"/>
    <n v="79.199999999999989"/>
    <x v="76"/>
    <d v="2025-03-22T00:00:00"/>
    <x v="1"/>
    <x v="2"/>
    <x v="0"/>
    <x v="0"/>
    <x v="8"/>
    <x v="5"/>
    <x v="11"/>
    <x v="1"/>
  </r>
  <r>
    <x v="2092"/>
    <x v="6"/>
    <x v="2"/>
    <n v="52.3"/>
    <n v="156.89999999999998"/>
    <x v="76"/>
    <d v="2025-03-19T00:00:00"/>
    <x v="1"/>
    <x v="1"/>
    <x v="0"/>
    <x v="0"/>
    <x v="8"/>
    <x v="3"/>
    <x v="11"/>
    <x v="1"/>
  </r>
  <r>
    <x v="2093"/>
    <x v="8"/>
    <x v="1"/>
    <n v="15.7"/>
    <n v="31.4"/>
    <x v="76"/>
    <d v="2025-03-21T00:00:00"/>
    <x v="1"/>
    <x v="1"/>
    <x v="2"/>
    <x v="0"/>
    <x v="8"/>
    <x v="2"/>
    <x v="11"/>
    <x v="1"/>
  </r>
  <r>
    <x v="2094"/>
    <x v="7"/>
    <x v="2"/>
    <n v="35"/>
    <n v="105"/>
    <x v="76"/>
    <d v="2025-03-21T00:00:00"/>
    <x v="2"/>
    <x v="1"/>
    <x v="2"/>
    <x v="0"/>
    <x v="9"/>
    <x v="2"/>
    <x v="11"/>
    <x v="2"/>
  </r>
  <r>
    <x v="2095"/>
    <x v="4"/>
    <x v="2"/>
    <n v="26.6"/>
    <n v="79.800000000000011"/>
    <x v="76"/>
    <d v="2025-03-18T00:00:00"/>
    <x v="1"/>
    <x v="1"/>
    <x v="2"/>
    <x v="0"/>
    <x v="11"/>
    <x v="7"/>
    <x v="11"/>
    <x v="1"/>
  </r>
  <r>
    <x v="2096"/>
    <x v="4"/>
    <x v="8"/>
    <n v="47.9"/>
    <n v="383.2"/>
    <x v="77"/>
    <d v="2025-03-20T00:00:00"/>
    <x v="2"/>
    <x v="3"/>
    <x v="2"/>
    <x v="0"/>
    <x v="20"/>
    <x v="3"/>
    <x v="11"/>
    <x v="2"/>
  </r>
  <r>
    <x v="2097"/>
    <x v="5"/>
    <x v="0"/>
    <n v="80.099999999999994"/>
    <n v="80.099999999999994"/>
    <x v="77"/>
    <d v="2025-03-20T00:00:00"/>
    <x v="1"/>
    <x v="2"/>
    <x v="0"/>
    <x v="0"/>
    <x v="21"/>
    <x v="3"/>
    <x v="11"/>
    <x v="1"/>
  </r>
  <r>
    <x v="2098"/>
    <x v="6"/>
    <x v="9"/>
    <n v="50.4"/>
    <n v="252"/>
    <x v="77"/>
    <d v="2025-03-20T00:00:00"/>
    <x v="1"/>
    <x v="1"/>
    <x v="2"/>
    <x v="0"/>
    <x v="21"/>
    <x v="3"/>
    <x v="11"/>
    <x v="1"/>
  </r>
  <r>
    <x v="2099"/>
    <x v="10"/>
    <x v="3"/>
    <n v="43.3"/>
    <n v="303.09999999999997"/>
    <x v="77"/>
    <d v="2025-03-20T00:00:00"/>
    <x v="1"/>
    <x v="2"/>
    <x v="0"/>
    <x v="0"/>
    <x v="21"/>
    <x v="3"/>
    <x v="11"/>
    <x v="1"/>
  </r>
  <r>
    <x v="2100"/>
    <x v="10"/>
    <x v="12"/>
    <n v="57.5"/>
    <n v="230"/>
    <x v="77"/>
    <d v="2025-03-20T00:00:00"/>
    <x v="2"/>
    <x v="1"/>
    <x v="2"/>
    <x v="0"/>
    <x v="1"/>
    <x v="3"/>
    <x v="11"/>
    <x v="2"/>
  </r>
  <r>
    <x v="2101"/>
    <x v="9"/>
    <x v="15"/>
    <n v="24.8"/>
    <n v="322.40000000000003"/>
    <x v="77"/>
    <d v="2025-03-20T00:00:00"/>
    <x v="1"/>
    <x v="0"/>
    <x v="0"/>
    <x v="0"/>
    <x v="57"/>
    <x v="3"/>
    <x v="11"/>
    <x v="1"/>
  </r>
  <r>
    <x v="2102"/>
    <x v="2"/>
    <x v="11"/>
    <n v="85.7"/>
    <n v="771.30000000000007"/>
    <x v="77"/>
    <d v="2025-03-20T00:00:00"/>
    <x v="2"/>
    <x v="0"/>
    <x v="0"/>
    <x v="0"/>
    <x v="42"/>
    <x v="3"/>
    <x v="11"/>
    <x v="2"/>
  </r>
  <r>
    <x v="2103"/>
    <x v="7"/>
    <x v="0"/>
    <n v="47.1"/>
    <n v="47.1"/>
    <x v="77"/>
    <d v="2025-03-21T00:00:00"/>
    <x v="2"/>
    <x v="0"/>
    <x v="0"/>
    <x v="0"/>
    <x v="2"/>
    <x v="1"/>
    <x v="11"/>
    <x v="2"/>
  </r>
  <r>
    <x v="2104"/>
    <x v="5"/>
    <x v="7"/>
    <n v="83.2"/>
    <n v="832"/>
    <x v="77"/>
    <d v="2025-03-23T00:00:00"/>
    <x v="2"/>
    <x v="0"/>
    <x v="0"/>
    <x v="0"/>
    <x v="33"/>
    <x v="5"/>
    <x v="11"/>
    <x v="2"/>
  </r>
  <r>
    <x v="2105"/>
    <x v="2"/>
    <x v="2"/>
    <n v="157"/>
    <n v="471"/>
    <x v="77"/>
    <d v="2025-03-21T00:00:00"/>
    <x v="2"/>
    <x v="0"/>
    <x v="2"/>
    <x v="0"/>
    <x v="22"/>
    <x v="1"/>
    <x v="11"/>
    <x v="2"/>
  </r>
  <r>
    <x v="2106"/>
    <x v="16"/>
    <x v="12"/>
    <n v="33.700000000000003"/>
    <n v="134.80000000000001"/>
    <x v="77"/>
    <d v="2025-03-20T00:00:00"/>
    <x v="1"/>
    <x v="2"/>
    <x v="2"/>
    <x v="0"/>
    <x v="22"/>
    <x v="3"/>
    <x v="11"/>
    <x v="1"/>
  </r>
  <r>
    <x v="2107"/>
    <x v="2"/>
    <x v="2"/>
    <n v="60.8"/>
    <n v="182.39999999999998"/>
    <x v="77"/>
    <d v="2025-03-23T00:00:00"/>
    <x v="2"/>
    <x v="1"/>
    <x v="1"/>
    <x v="0"/>
    <x v="3"/>
    <x v="5"/>
    <x v="11"/>
    <x v="2"/>
  </r>
  <r>
    <x v="2108"/>
    <x v="7"/>
    <x v="0"/>
    <n v="57.6"/>
    <n v="57.6"/>
    <x v="77"/>
    <d v="2025-03-20T00:00:00"/>
    <x v="1"/>
    <x v="1"/>
    <x v="4"/>
    <x v="0"/>
    <x v="3"/>
    <x v="3"/>
    <x v="11"/>
    <x v="1"/>
  </r>
  <r>
    <x v="2109"/>
    <x v="10"/>
    <x v="0"/>
    <n v="32"/>
    <n v="32"/>
    <x v="77"/>
    <d v="2025-03-21T00:00:00"/>
    <x v="1"/>
    <x v="0"/>
    <x v="0"/>
    <x v="0"/>
    <x v="3"/>
    <x v="1"/>
    <x v="11"/>
    <x v="1"/>
  </r>
  <r>
    <x v="2110"/>
    <x v="10"/>
    <x v="12"/>
    <n v="23.5"/>
    <n v="94"/>
    <x v="77"/>
    <d v="2025-03-20T00:00:00"/>
    <x v="2"/>
    <x v="0"/>
    <x v="2"/>
    <x v="0"/>
    <x v="3"/>
    <x v="3"/>
    <x v="11"/>
    <x v="2"/>
  </r>
  <r>
    <x v="2111"/>
    <x v="12"/>
    <x v="2"/>
    <n v="44.8"/>
    <n v="134.39999999999998"/>
    <x v="77"/>
    <d v="2025-03-20T00:00:00"/>
    <x v="3"/>
    <x v="4"/>
    <x v="0"/>
    <x v="0"/>
    <x v="3"/>
    <x v="3"/>
    <x v="11"/>
    <x v="3"/>
  </r>
  <r>
    <x v="2112"/>
    <x v="0"/>
    <x v="8"/>
    <n v="11.7"/>
    <n v="93.6"/>
    <x v="77"/>
    <d v="2025-03-20T00:00:00"/>
    <x v="1"/>
    <x v="2"/>
    <x v="2"/>
    <x v="0"/>
    <x v="3"/>
    <x v="3"/>
    <x v="11"/>
    <x v="1"/>
  </r>
  <r>
    <x v="2113"/>
    <x v="7"/>
    <x v="1"/>
    <n v="38.799999999999997"/>
    <n v="77.599999999999994"/>
    <x v="77"/>
    <d v="2025-03-22T00:00:00"/>
    <x v="2"/>
    <x v="2"/>
    <x v="0"/>
    <x v="0"/>
    <x v="3"/>
    <x v="2"/>
    <x v="11"/>
    <x v="2"/>
  </r>
  <r>
    <x v="2114"/>
    <x v="5"/>
    <x v="21"/>
    <n v="86.9"/>
    <n v="1216.6000000000001"/>
    <x v="77"/>
    <d v="2025-03-24T00:00:00"/>
    <x v="2"/>
    <x v="1"/>
    <x v="0"/>
    <x v="0"/>
    <x v="3"/>
    <x v="0"/>
    <x v="11"/>
    <x v="2"/>
  </r>
  <r>
    <x v="2115"/>
    <x v="8"/>
    <x v="0"/>
    <n v="18.3"/>
    <n v="18.3"/>
    <x v="77"/>
    <d v="2025-03-20T00:00:00"/>
    <x v="2"/>
    <x v="0"/>
    <x v="0"/>
    <x v="0"/>
    <x v="3"/>
    <x v="3"/>
    <x v="11"/>
    <x v="2"/>
  </r>
  <r>
    <x v="2116"/>
    <x v="5"/>
    <x v="0"/>
    <n v="47.5"/>
    <n v="47.5"/>
    <x v="77"/>
    <d v="2025-03-23T00:00:00"/>
    <x v="1"/>
    <x v="4"/>
    <x v="2"/>
    <x v="0"/>
    <x v="3"/>
    <x v="5"/>
    <x v="11"/>
    <x v="1"/>
  </r>
  <r>
    <x v="2117"/>
    <x v="1"/>
    <x v="1"/>
    <n v="78.599999999999994"/>
    <n v="157.19999999999999"/>
    <x v="77"/>
    <d v="2025-03-20T00:00:00"/>
    <x v="1"/>
    <x v="2"/>
    <x v="2"/>
    <x v="0"/>
    <x v="3"/>
    <x v="3"/>
    <x v="11"/>
    <x v="1"/>
  </r>
  <r>
    <x v="2118"/>
    <x v="6"/>
    <x v="12"/>
    <n v="87.3"/>
    <n v="349.2"/>
    <x v="77"/>
    <d v="2025-03-20T00:00:00"/>
    <x v="1"/>
    <x v="0"/>
    <x v="0"/>
    <x v="0"/>
    <x v="3"/>
    <x v="3"/>
    <x v="11"/>
    <x v="1"/>
  </r>
  <r>
    <x v="2119"/>
    <x v="9"/>
    <x v="1"/>
    <n v="63.2"/>
    <n v="126.4"/>
    <x v="77"/>
    <d v="2025-03-19T00:00:00"/>
    <x v="1"/>
    <x v="4"/>
    <x v="1"/>
    <x v="0"/>
    <x v="3"/>
    <x v="7"/>
    <x v="11"/>
    <x v="1"/>
  </r>
  <r>
    <x v="2120"/>
    <x v="5"/>
    <x v="9"/>
    <n v="33.700000000000003"/>
    <n v="168.5"/>
    <x v="77"/>
    <d v="2025-03-20T00:00:00"/>
    <x v="2"/>
    <x v="0"/>
    <x v="0"/>
    <x v="0"/>
    <x v="3"/>
    <x v="3"/>
    <x v="11"/>
    <x v="2"/>
  </r>
  <r>
    <x v="2121"/>
    <x v="2"/>
    <x v="2"/>
    <n v="107.4"/>
    <n v="322.20000000000005"/>
    <x v="77"/>
    <d v="2025-04-01T00:00:00"/>
    <x v="2"/>
    <x v="1"/>
    <x v="2"/>
    <x v="0"/>
    <x v="3"/>
    <x v="10"/>
    <x v="11"/>
    <x v="2"/>
  </r>
  <r>
    <x v="2122"/>
    <x v="4"/>
    <x v="12"/>
    <n v="22.2"/>
    <n v="88.8"/>
    <x v="77"/>
    <d v="2025-03-20T00:00:00"/>
    <x v="0"/>
    <x v="1"/>
    <x v="2"/>
    <x v="0"/>
    <x v="24"/>
    <x v="3"/>
    <x v="11"/>
    <x v="0"/>
  </r>
  <r>
    <x v="2123"/>
    <x v="18"/>
    <x v="2"/>
    <n v="52.8"/>
    <n v="158.39999999999998"/>
    <x v="77"/>
    <d v="2025-03-20T00:00:00"/>
    <x v="1"/>
    <x v="3"/>
    <x v="2"/>
    <x v="0"/>
    <x v="24"/>
    <x v="3"/>
    <x v="11"/>
    <x v="1"/>
  </r>
  <r>
    <x v="2124"/>
    <x v="8"/>
    <x v="2"/>
    <n v="41.5"/>
    <n v="124.5"/>
    <x v="77"/>
    <d v="2025-03-22T00:00:00"/>
    <x v="2"/>
    <x v="0"/>
    <x v="0"/>
    <x v="0"/>
    <x v="25"/>
    <x v="2"/>
    <x v="11"/>
    <x v="2"/>
  </r>
  <r>
    <x v="2125"/>
    <x v="12"/>
    <x v="8"/>
    <n v="103.5"/>
    <n v="828"/>
    <x v="77"/>
    <d v="2025-03-22T00:00:00"/>
    <x v="2"/>
    <x v="0"/>
    <x v="2"/>
    <x v="0"/>
    <x v="23"/>
    <x v="2"/>
    <x v="11"/>
    <x v="2"/>
  </r>
  <r>
    <x v="2126"/>
    <x v="4"/>
    <x v="21"/>
    <n v="37.5"/>
    <n v="525"/>
    <x v="77"/>
    <d v="2025-03-19T00:00:00"/>
    <x v="2"/>
    <x v="1"/>
    <x v="2"/>
    <x v="0"/>
    <x v="6"/>
    <x v="7"/>
    <x v="11"/>
    <x v="2"/>
  </r>
  <r>
    <x v="2127"/>
    <x v="15"/>
    <x v="8"/>
    <n v="44.4"/>
    <n v="355.2"/>
    <x v="77"/>
    <d v="2025-03-25T00:00:00"/>
    <x v="2"/>
    <x v="3"/>
    <x v="2"/>
    <x v="0"/>
    <x v="7"/>
    <x v="4"/>
    <x v="11"/>
    <x v="2"/>
  </r>
  <r>
    <x v="2128"/>
    <x v="8"/>
    <x v="2"/>
    <n v="26.2"/>
    <n v="78.599999999999994"/>
    <x v="77"/>
    <d v="2025-03-20T00:00:00"/>
    <x v="1"/>
    <x v="0"/>
    <x v="0"/>
    <x v="0"/>
    <x v="8"/>
    <x v="3"/>
    <x v="11"/>
    <x v="1"/>
  </r>
  <r>
    <x v="2129"/>
    <x v="1"/>
    <x v="3"/>
    <n v="32.200000000000003"/>
    <n v="225.40000000000003"/>
    <x v="77"/>
    <d v="2025-03-20T00:00:00"/>
    <x v="2"/>
    <x v="1"/>
    <x v="2"/>
    <x v="0"/>
    <x v="8"/>
    <x v="3"/>
    <x v="11"/>
    <x v="2"/>
  </r>
  <r>
    <x v="2130"/>
    <x v="8"/>
    <x v="0"/>
    <n v="17.399999999999999"/>
    <n v="17.399999999999999"/>
    <x v="77"/>
    <d v="2025-03-23T00:00:00"/>
    <x v="0"/>
    <x v="2"/>
    <x v="1"/>
    <x v="0"/>
    <x v="8"/>
    <x v="5"/>
    <x v="11"/>
    <x v="0"/>
  </r>
  <r>
    <x v="2131"/>
    <x v="8"/>
    <x v="13"/>
    <n v="72.3"/>
    <n v="433.79999999999995"/>
    <x v="77"/>
    <d v="2025-03-22T00:00:00"/>
    <x v="2"/>
    <x v="0"/>
    <x v="0"/>
    <x v="0"/>
    <x v="8"/>
    <x v="2"/>
    <x v="11"/>
    <x v="2"/>
  </r>
  <r>
    <x v="2132"/>
    <x v="8"/>
    <x v="5"/>
    <n v="24.3"/>
    <n v="267.3"/>
    <x v="77"/>
    <d v="2025-03-20T00:00:00"/>
    <x v="1"/>
    <x v="0"/>
    <x v="0"/>
    <x v="0"/>
    <x v="8"/>
    <x v="3"/>
    <x v="11"/>
    <x v="1"/>
  </r>
  <r>
    <x v="2133"/>
    <x v="13"/>
    <x v="2"/>
    <n v="49.1"/>
    <n v="147.30000000000001"/>
    <x v="77"/>
    <d v="2025-03-25T00:00:00"/>
    <x v="1"/>
    <x v="2"/>
    <x v="4"/>
    <x v="0"/>
    <x v="8"/>
    <x v="4"/>
    <x v="11"/>
    <x v="1"/>
  </r>
  <r>
    <x v="2134"/>
    <x v="2"/>
    <x v="7"/>
    <n v="234.7"/>
    <n v="2347"/>
    <x v="77"/>
    <d v="2025-03-20T00:00:00"/>
    <x v="1"/>
    <x v="3"/>
    <x v="1"/>
    <x v="0"/>
    <x v="8"/>
    <x v="3"/>
    <x v="11"/>
    <x v="1"/>
  </r>
  <r>
    <x v="2135"/>
    <x v="3"/>
    <x v="9"/>
    <n v="76.099999999999994"/>
    <n v="380.5"/>
    <x v="77"/>
    <d v="2025-03-21T00:00:00"/>
    <x v="1"/>
    <x v="1"/>
    <x v="1"/>
    <x v="0"/>
    <x v="17"/>
    <x v="1"/>
    <x v="11"/>
    <x v="1"/>
  </r>
  <r>
    <x v="2136"/>
    <x v="1"/>
    <x v="2"/>
    <n v="93.9"/>
    <n v="281.70000000000005"/>
    <x v="77"/>
    <d v="2025-03-20T00:00:00"/>
    <x v="1"/>
    <x v="1"/>
    <x v="4"/>
    <x v="0"/>
    <x v="11"/>
    <x v="3"/>
    <x v="11"/>
    <x v="1"/>
  </r>
  <r>
    <x v="2137"/>
    <x v="2"/>
    <x v="12"/>
    <n v="187"/>
    <n v="748"/>
    <x v="78"/>
    <d v="2025-03-23T00:00:00"/>
    <x v="1"/>
    <x v="0"/>
    <x v="0"/>
    <x v="0"/>
    <x v="11"/>
    <x v="2"/>
    <x v="11"/>
    <x v="1"/>
  </r>
  <r>
    <x v="2138"/>
    <x v="8"/>
    <x v="1"/>
    <n v="18"/>
    <n v="36"/>
    <x v="78"/>
    <d v="2025-03-21T00:00:00"/>
    <x v="2"/>
    <x v="1"/>
    <x v="2"/>
    <x v="0"/>
    <x v="53"/>
    <x v="3"/>
    <x v="11"/>
    <x v="2"/>
  </r>
  <r>
    <x v="2139"/>
    <x v="4"/>
    <x v="0"/>
    <n v="24.4"/>
    <n v="24.4"/>
    <x v="78"/>
    <d v="2025-03-21T00:00:00"/>
    <x v="2"/>
    <x v="4"/>
    <x v="2"/>
    <x v="0"/>
    <x v="21"/>
    <x v="3"/>
    <x v="11"/>
    <x v="2"/>
  </r>
  <r>
    <x v="2140"/>
    <x v="10"/>
    <x v="1"/>
    <n v="38.799999999999997"/>
    <n v="77.599999999999994"/>
    <x v="78"/>
    <d v="2025-03-21T00:00:00"/>
    <x v="1"/>
    <x v="4"/>
    <x v="1"/>
    <x v="0"/>
    <x v="3"/>
    <x v="3"/>
    <x v="11"/>
    <x v="1"/>
  </r>
  <r>
    <x v="2141"/>
    <x v="3"/>
    <x v="0"/>
    <n v="59.7"/>
    <n v="59.7"/>
    <x v="78"/>
    <d v="2025-03-23T00:00:00"/>
    <x v="1"/>
    <x v="3"/>
    <x v="0"/>
    <x v="0"/>
    <x v="3"/>
    <x v="2"/>
    <x v="11"/>
    <x v="1"/>
  </r>
  <r>
    <x v="2142"/>
    <x v="7"/>
    <x v="0"/>
    <n v="31.2"/>
    <n v="31.2"/>
    <x v="78"/>
    <d v="2025-03-21T00:00:00"/>
    <x v="1"/>
    <x v="1"/>
    <x v="2"/>
    <x v="0"/>
    <x v="3"/>
    <x v="3"/>
    <x v="11"/>
    <x v="1"/>
  </r>
  <r>
    <x v="2143"/>
    <x v="0"/>
    <x v="0"/>
    <n v="16.8"/>
    <n v="16.8"/>
    <x v="78"/>
    <d v="2025-03-21T00:00:00"/>
    <x v="2"/>
    <x v="2"/>
    <x v="1"/>
    <x v="0"/>
    <x v="3"/>
    <x v="3"/>
    <x v="11"/>
    <x v="2"/>
  </r>
  <r>
    <x v="2144"/>
    <x v="8"/>
    <x v="0"/>
    <n v="46"/>
    <n v="46"/>
    <x v="78"/>
    <d v="2025-03-21T00:00:00"/>
    <x v="1"/>
    <x v="0"/>
    <x v="0"/>
    <x v="0"/>
    <x v="3"/>
    <x v="3"/>
    <x v="11"/>
    <x v="1"/>
  </r>
  <r>
    <x v="2145"/>
    <x v="9"/>
    <x v="8"/>
    <n v="42.2"/>
    <n v="337.6"/>
    <x v="78"/>
    <d v="2025-03-23T00:00:00"/>
    <x v="2"/>
    <x v="3"/>
    <x v="2"/>
    <x v="0"/>
    <x v="3"/>
    <x v="2"/>
    <x v="11"/>
    <x v="2"/>
  </r>
  <r>
    <x v="2146"/>
    <x v="1"/>
    <x v="2"/>
    <n v="71.5"/>
    <n v="214.5"/>
    <x v="78"/>
    <d v="2025-04-03T00:00:00"/>
    <x v="2"/>
    <x v="0"/>
    <x v="0"/>
    <x v="0"/>
    <x v="3"/>
    <x v="12"/>
    <x v="11"/>
    <x v="2"/>
  </r>
  <r>
    <x v="2147"/>
    <x v="1"/>
    <x v="1"/>
    <n v="76.599999999999994"/>
    <n v="153.19999999999999"/>
    <x v="78"/>
    <d v="2025-03-20T00:00:00"/>
    <x v="1"/>
    <x v="0"/>
    <x v="2"/>
    <x v="0"/>
    <x v="3"/>
    <x v="7"/>
    <x v="11"/>
    <x v="1"/>
  </r>
  <r>
    <x v="2148"/>
    <x v="12"/>
    <x v="1"/>
    <n v="87.3"/>
    <n v="174.6"/>
    <x v="78"/>
    <d v="2025-03-28T00:00:00"/>
    <x v="2"/>
    <x v="3"/>
    <x v="2"/>
    <x v="0"/>
    <x v="3"/>
    <x v="9"/>
    <x v="11"/>
    <x v="2"/>
  </r>
  <r>
    <x v="2149"/>
    <x v="1"/>
    <x v="0"/>
    <n v="63"/>
    <n v="63"/>
    <x v="78"/>
    <d v="2025-03-23T00:00:00"/>
    <x v="1"/>
    <x v="3"/>
    <x v="0"/>
    <x v="0"/>
    <x v="3"/>
    <x v="2"/>
    <x v="11"/>
    <x v="1"/>
  </r>
  <r>
    <x v="2150"/>
    <x v="8"/>
    <x v="1"/>
    <n v="41.7"/>
    <n v="83.4"/>
    <x v="78"/>
    <d v="2025-03-21T00:00:00"/>
    <x v="2"/>
    <x v="4"/>
    <x v="1"/>
    <x v="0"/>
    <x v="43"/>
    <x v="3"/>
    <x v="11"/>
    <x v="2"/>
  </r>
  <r>
    <x v="2151"/>
    <x v="6"/>
    <x v="1"/>
    <n v="76.099999999999994"/>
    <n v="152.19999999999999"/>
    <x v="78"/>
    <d v="2025-03-20T00:00:00"/>
    <x v="2"/>
    <x v="4"/>
    <x v="2"/>
    <x v="0"/>
    <x v="16"/>
    <x v="7"/>
    <x v="11"/>
    <x v="2"/>
  </r>
  <r>
    <x v="2152"/>
    <x v="13"/>
    <x v="1"/>
    <n v="28.5"/>
    <n v="57"/>
    <x v="78"/>
    <d v="2025-03-21T00:00:00"/>
    <x v="2"/>
    <x v="0"/>
    <x v="2"/>
    <x v="0"/>
    <x v="4"/>
    <x v="3"/>
    <x v="11"/>
    <x v="2"/>
  </r>
  <r>
    <x v="2153"/>
    <x v="0"/>
    <x v="12"/>
    <n v="32.1"/>
    <n v="128.4"/>
    <x v="78"/>
    <d v="2025-03-21T00:00:00"/>
    <x v="2"/>
    <x v="1"/>
    <x v="2"/>
    <x v="0"/>
    <x v="25"/>
    <x v="3"/>
    <x v="11"/>
    <x v="2"/>
  </r>
  <r>
    <x v="2154"/>
    <x v="4"/>
    <x v="2"/>
    <n v="39"/>
    <n v="117"/>
    <x v="78"/>
    <d v="2025-03-23T00:00:00"/>
    <x v="1"/>
    <x v="1"/>
    <x v="2"/>
    <x v="0"/>
    <x v="25"/>
    <x v="2"/>
    <x v="11"/>
    <x v="1"/>
  </r>
  <r>
    <x v="2155"/>
    <x v="6"/>
    <x v="0"/>
    <n v="78.5"/>
    <n v="78.5"/>
    <x v="78"/>
    <d v="2025-03-21T00:00:00"/>
    <x v="1"/>
    <x v="1"/>
    <x v="0"/>
    <x v="0"/>
    <x v="6"/>
    <x v="3"/>
    <x v="11"/>
    <x v="1"/>
  </r>
  <r>
    <x v="2156"/>
    <x v="4"/>
    <x v="9"/>
    <n v="49.7"/>
    <n v="248.5"/>
    <x v="78"/>
    <d v="2025-03-22T00:00:00"/>
    <x v="2"/>
    <x v="0"/>
    <x v="0"/>
    <x v="0"/>
    <x v="6"/>
    <x v="1"/>
    <x v="11"/>
    <x v="2"/>
  </r>
  <r>
    <x v="2157"/>
    <x v="1"/>
    <x v="12"/>
    <n v="68.400000000000006"/>
    <n v="273.60000000000002"/>
    <x v="78"/>
    <d v="2025-03-21T00:00:00"/>
    <x v="2"/>
    <x v="2"/>
    <x v="2"/>
    <x v="0"/>
    <x v="7"/>
    <x v="3"/>
    <x v="11"/>
    <x v="2"/>
  </r>
  <r>
    <x v="2158"/>
    <x v="3"/>
    <x v="1"/>
    <n v="72.900000000000006"/>
    <n v="145.80000000000001"/>
    <x v="78"/>
    <d v="2025-03-23T00:00:00"/>
    <x v="0"/>
    <x v="0"/>
    <x v="2"/>
    <x v="0"/>
    <x v="7"/>
    <x v="2"/>
    <x v="11"/>
    <x v="0"/>
  </r>
  <r>
    <x v="2159"/>
    <x v="5"/>
    <x v="15"/>
    <n v="30.3"/>
    <n v="393.90000000000003"/>
    <x v="78"/>
    <d v="2025-03-21T00:00:00"/>
    <x v="1"/>
    <x v="4"/>
    <x v="0"/>
    <x v="0"/>
    <x v="7"/>
    <x v="3"/>
    <x v="11"/>
    <x v="1"/>
  </r>
  <r>
    <x v="2160"/>
    <x v="6"/>
    <x v="5"/>
    <n v="57.9"/>
    <n v="636.9"/>
    <x v="78"/>
    <d v="2025-03-21T00:00:00"/>
    <x v="2"/>
    <x v="0"/>
    <x v="0"/>
    <x v="0"/>
    <x v="8"/>
    <x v="3"/>
    <x v="11"/>
    <x v="2"/>
  </r>
  <r>
    <x v="2161"/>
    <x v="1"/>
    <x v="0"/>
    <n v="96.7"/>
    <n v="96.7"/>
    <x v="78"/>
    <d v="2025-03-21T00:00:00"/>
    <x v="1"/>
    <x v="0"/>
    <x v="0"/>
    <x v="0"/>
    <x v="8"/>
    <x v="3"/>
    <x v="11"/>
    <x v="1"/>
  </r>
  <r>
    <x v="2162"/>
    <x v="8"/>
    <x v="4"/>
    <n v="27.6"/>
    <n v="331.20000000000005"/>
    <x v="78"/>
    <d v="2025-03-22T00:00:00"/>
    <x v="1"/>
    <x v="2"/>
    <x v="2"/>
    <x v="0"/>
    <x v="8"/>
    <x v="1"/>
    <x v="11"/>
    <x v="1"/>
  </r>
  <r>
    <x v="2163"/>
    <x v="6"/>
    <x v="12"/>
    <n v="64.7"/>
    <n v="258.8"/>
    <x v="78"/>
    <d v="2025-03-20T00:00:00"/>
    <x v="1"/>
    <x v="3"/>
    <x v="2"/>
    <x v="0"/>
    <x v="8"/>
    <x v="7"/>
    <x v="11"/>
    <x v="1"/>
  </r>
  <r>
    <x v="2164"/>
    <x v="10"/>
    <x v="13"/>
    <n v="30.5"/>
    <n v="183"/>
    <x v="78"/>
    <d v="2025-03-21T00:00:00"/>
    <x v="1"/>
    <x v="4"/>
    <x v="0"/>
    <x v="0"/>
    <x v="8"/>
    <x v="3"/>
    <x v="11"/>
    <x v="1"/>
  </r>
  <r>
    <x v="2165"/>
    <x v="6"/>
    <x v="47"/>
    <n v="106"/>
    <n v="7420"/>
    <x v="79"/>
    <d v="2025-03-23T00:00:00"/>
    <x v="1"/>
    <x v="4"/>
    <x v="2"/>
    <x v="0"/>
    <x v="8"/>
    <x v="1"/>
    <x v="11"/>
    <x v="1"/>
  </r>
  <r>
    <x v="2166"/>
    <x v="12"/>
    <x v="9"/>
    <n v="76.8"/>
    <n v="384"/>
    <x v="79"/>
    <d v="2025-03-27T00:00:00"/>
    <x v="0"/>
    <x v="1"/>
    <x v="1"/>
    <x v="0"/>
    <x v="18"/>
    <x v="4"/>
    <x v="11"/>
    <x v="0"/>
  </r>
  <r>
    <x v="2167"/>
    <x v="6"/>
    <x v="1"/>
    <n v="80.400000000000006"/>
    <n v="160.80000000000001"/>
    <x v="79"/>
    <d v="2025-03-22T00:00:00"/>
    <x v="2"/>
    <x v="2"/>
    <x v="0"/>
    <x v="0"/>
    <x v="13"/>
    <x v="3"/>
    <x v="11"/>
    <x v="2"/>
  </r>
  <r>
    <x v="2168"/>
    <x v="6"/>
    <x v="12"/>
    <n v="69.099999999999994"/>
    <n v="276.39999999999998"/>
    <x v="79"/>
    <d v="2025-03-22T00:00:00"/>
    <x v="1"/>
    <x v="1"/>
    <x v="2"/>
    <x v="0"/>
    <x v="21"/>
    <x v="3"/>
    <x v="11"/>
    <x v="1"/>
  </r>
  <r>
    <x v="2169"/>
    <x v="18"/>
    <x v="1"/>
    <n v="76.400000000000006"/>
    <n v="152.80000000000001"/>
    <x v="79"/>
    <d v="2025-03-21T00:00:00"/>
    <x v="1"/>
    <x v="3"/>
    <x v="0"/>
    <x v="0"/>
    <x v="21"/>
    <x v="7"/>
    <x v="11"/>
    <x v="1"/>
  </r>
  <r>
    <x v="2170"/>
    <x v="2"/>
    <x v="1"/>
    <n v="61.3"/>
    <n v="122.6"/>
    <x v="79"/>
    <d v="2025-03-22T00:00:00"/>
    <x v="2"/>
    <x v="1"/>
    <x v="1"/>
    <x v="0"/>
    <x v="21"/>
    <x v="3"/>
    <x v="11"/>
    <x v="2"/>
  </r>
  <r>
    <x v="2171"/>
    <x v="7"/>
    <x v="0"/>
    <n v="58"/>
    <n v="58"/>
    <x v="79"/>
    <d v="2025-03-22T00:00:00"/>
    <x v="1"/>
    <x v="3"/>
    <x v="1"/>
    <x v="0"/>
    <x v="1"/>
    <x v="3"/>
    <x v="11"/>
    <x v="1"/>
  </r>
  <r>
    <x v="2172"/>
    <x v="2"/>
    <x v="8"/>
    <n v="102.3"/>
    <n v="818.4"/>
    <x v="79"/>
    <d v="2025-03-23T00:00:00"/>
    <x v="1"/>
    <x v="2"/>
    <x v="0"/>
    <x v="0"/>
    <x v="42"/>
    <x v="1"/>
    <x v="11"/>
    <x v="1"/>
  </r>
  <r>
    <x v="2173"/>
    <x v="19"/>
    <x v="1"/>
    <n v="13.8"/>
    <n v="27.6"/>
    <x v="79"/>
    <d v="2025-03-22T00:00:00"/>
    <x v="2"/>
    <x v="4"/>
    <x v="2"/>
    <x v="0"/>
    <x v="2"/>
    <x v="3"/>
    <x v="11"/>
    <x v="2"/>
  </r>
  <r>
    <x v="2174"/>
    <x v="8"/>
    <x v="2"/>
    <n v="33.299999999999997"/>
    <n v="99.899999999999991"/>
    <x v="79"/>
    <d v="2025-03-24T00:00:00"/>
    <x v="2"/>
    <x v="2"/>
    <x v="0"/>
    <x v="0"/>
    <x v="22"/>
    <x v="2"/>
    <x v="11"/>
    <x v="2"/>
  </r>
  <r>
    <x v="2175"/>
    <x v="10"/>
    <x v="0"/>
    <n v="27.4"/>
    <n v="27.4"/>
    <x v="79"/>
    <d v="2025-03-24T00:00:00"/>
    <x v="1"/>
    <x v="0"/>
    <x v="2"/>
    <x v="0"/>
    <x v="22"/>
    <x v="2"/>
    <x v="11"/>
    <x v="1"/>
  </r>
  <r>
    <x v="2176"/>
    <x v="14"/>
    <x v="1"/>
    <n v="25.6"/>
    <n v="51.2"/>
    <x v="79"/>
    <d v="2025-03-22T00:00:00"/>
    <x v="2"/>
    <x v="1"/>
    <x v="1"/>
    <x v="0"/>
    <x v="3"/>
    <x v="3"/>
    <x v="11"/>
    <x v="2"/>
  </r>
  <r>
    <x v="2177"/>
    <x v="13"/>
    <x v="0"/>
    <n v="58.4"/>
    <n v="58.4"/>
    <x v="79"/>
    <d v="2025-03-22T00:00:00"/>
    <x v="2"/>
    <x v="2"/>
    <x v="2"/>
    <x v="0"/>
    <x v="3"/>
    <x v="3"/>
    <x v="11"/>
    <x v="2"/>
  </r>
  <r>
    <x v="2178"/>
    <x v="11"/>
    <x v="17"/>
    <n v="27"/>
    <n v="810"/>
    <x v="79"/>
    <d v="2025-03-22T00:00:00"/>
    <x v="2"/>
    <x v="4"/>
    <x v="0"/>
    <x v="0"/>
    <x v="3"/>
    <x v="3"/>
    <x v="11"/>
    <x v="2"/>
  </r>
  <r>
    <x v="2179"/>
    <x v="0"/>
    <x v="12"/>
    <n v="14.2"/>
    <n v="56.8"/>
    <x v="79"/>
    <d v="2025-03-22T00:00:00"/>
    <x v="1"/>
    <x v="0"/>
    <x v="2"/>
    <x v="0"/>
    <x v="3"/>
    <x v="3"/>
    <x v="11"/>
    <x v="1"/>
  </r>
  <r>
    <x v="2180"/>
    <x v="7"/>
    <x v="1"/>
    <n v="68"/>
    <n v="136"/>
    <x v="79"/>
    <d v="2025-03-31T00:00:00"/>
    <x v="1"/>
    <x v="2"/>
    <x v="1"/>
    <x v="0"/>
    <x v="3"/>
    <x v="14"/>
    <x v="11"/>
    <x v="1"/>
  </r>
  <r>
    <x v="2181"/>
    <x v="8"/>
    <x v="0"/>
    <n v="30.7"/>
    <n v="30.7"/>
    <x v="79"/>
    <d v="2025-03-22T00:00:00"/>
    <x v="1"/>
    <x v="0"/>
    <x v="0"/>
    <x v="0"/>
    <x v="3"/>
    <x v="3"/>
    <x v="11"/>
    <x v="1"/>
  </r>
  <r>
    <x v="2182"/>
    <x v="17"/>
    <x v="15"/>
    <n v="51.6"/>
    <n v="670.80000000000007"/>
    <x v="79"/>
    <d v="2025-03-24T00:00:00"/>
    <x v="3"/>
    <x v="1"/>
    <x v="2"/>
    <x v="0"/>
    <x v="3"/>
    <x v="2"/>
    <x v="11"/>
    <x v="3"/>
  </r>
  <r>
    <x v="2183"/>
    <x v="8"/>
    <x v="2"/>
    <n v="20.6"/>
    <n v="61.800000000000004"/>
    <x v="79"/>
    <d v="2025-03-25T00:00:00"/>
    <x v="2"/>
    <x v="4"/>
    <x v="2"/>
    <x v="0"/>
    <x v="3"/>
    <x v="5"/>
    <x v="11"/>
    <x v="2"/>
  </r>
  <r>
    <x v="2184"/>
    <x v="8"/>
    <x v="0"/>
    <n v="24.8"/>
    <n v="24.8"/>
    <x v="79"/>
    <d v="2025-03-22T00:00:00"/>
    <x v="1"/>
    <x v="4"/>
    <x v="0"/>
    <x v="0"/>
    <x v="3"/>
    <x v="3"/>
    <x v="11"/>
    <x v="1"/>
  </r>
  <r>
    <x v="2185"/>
    <x v="0"/>
    <x v="3"/>
    <n v="11.2"/>
    <n v="78.399999999999991"/>
    <x v="79"/>
    <d v="2025-03-24T00:00:00"/>
    <x v="1"/>
    <x v="1"/>
    <x v="0"/>
    <x v="0"/>
    <x v="3"/>
    <x v="2"/>
    <x v="11"/>
    <x v="1"/>
  </r>
  <r>
    <x v="2186"/>
    <x v="11"/>
    <x v="1"/>
    <n v="51.2"/>
    <n v="102.4"/>
    <x v="79"/>
    <d v="2025-03-22T00:00:00"/>
    <x v="2"/>
    <x v="1"/>
    <x v="2"/>
    <x v="0"/>
    <x v="3"/>
    <x v="3"/>
    <x v="11"/>
    <x v="2"/>
  </r>
  <r>
    <x v="2187"/>
    <x v="7"/>
    <x v="13"/>
    <n v="90.5"/>
    <n v="543"/>
    <x v="79"/>
    <d v="2025-03-22T00:00:00"/>
    <x v="2"/>
    <x v="1"/>
    <x v="4"/>
    <x v="0"/>
    <x v="3"/>
    <x v="3"/>
    <x v="11"/>
    <x v="2"/>
  </r>
  <r>
    <x v="2188"/>
    <x v="1"/>
    <x v="1"/>
    <n v="42.4"/>
    <n v="84.8"/>
    <x v="79"/>
    <d v="2025-03-22T00:00:00"/>
    <x v="1"/>
    <x v="1"/>
    <x v="2"/>
    <x v="0"/>
    <x v="4"/>
    <x v="3"/>
    <x v="11"/>
    <x v="1"/>
  </r>
  <r>
    <x v="2189"/>
    <x v="1"/>
    <x v="1"/>
    <n v="38.200000000000003"/>
    <n v="76.400000000000006"/>
    <x v="79"/>
    <d v="2025-03-22T00:00:00"/>
    <x v="1"/>
    <x v="0"/>
    <x v="0"/>
    <x v="0"/>
    <x v="5"/>
    <x v="3"/>
    <x v="11"/>
    <x v="1"/>
  </r>
  <r>
    <x v="2190"/>
    <x v="2"/>
    <x v="11"/>
    <n v="121.3"/>
    <n v="1091.7"/>
    <x v="79"/>
    <d v="2025-03-26T00:00:00"/>
    <x v="1"/>
    <x v="0"/>
    <x v="0"/>
    <x v="0"/>
    <x v="6"/>
    <x v="0"/>
    <x v="11"/>
    <x v="1"/>
  </r>
  <r>
    <x v="2191"/>
    <x v="6"/>
    <x v="1"/>
    <n v="46.9"/>
    <n v="93.8"/>
    <x v="79"/>
    <d v="2025-03-28T00:00:00"/>
    <x v="1"/>
    <x v="0"/>
    <x v="0"/>
    <x v="0"/>
    <x v="8"/>
    <x v="6"/>
    <x v="11"/>
    <x v="1"/>
  </r>
  <r>
    <x v="2192"/>
    <x v="10"/>
    <x v="0"/>
    <n v="55.3"/>
    <n v="55.3"/>
    <x v="79"/>
    <d v="2025-03-23T00:00:00"/>
    <x v="1"/>
    <x v="0"/>
    <x v="0"/>
    <x v="0"/>
    <x v="8"/>
    <x v="1"/>
    <x v="11"/>
    <x v="1"/>
  </r>
  <r>
    <x v="2193"/>
    <x v="2"/>
    <x v="2"/>
    <n v="70.599999999999994"/>
    <n v="211.79999999999998"/>
    <x v="80"/>
    <d v="2025-03-22T00:00:00"/>
    <x v="2"/>
    <x v="0"/>
    <x v="1"/>
    <x v="0"/>
    <x v="8"/>
    <x v="7"/>
    <x v="11"/>
    <x v="2"/>
  </r>
  <r>
    <x v="2194"/>
    <x v="14"/>
    <x v="12"/>
    <n v="26.1"/>
    <n v="104.4"/>
    <x v="80"/>
    <d v="2025-03-24T00:00:00"/>
    <x v="1"/>
    <x v="0"/>
    <x v="0"/>
    <x v="0"/>
    <x v="8"/>
    <x v="1"/>
    <x v="11"/>
    <x v="1"/>
  </r>
  <r>
    <x v="2195"/>
    <x v="9"/>
    <x v="5"/>
    <n v="34.5"/>
    <n v="379.5"/>
    <x v="80"/>
    <d v="2025-03-26T00:00:00"/>
    <x v="1"/>
    <x v="2"/>
    <x v="0"/>
    <x v="0"/>
    <x v="17"/>
    <x v="5"/>
    <x v="11"/>
    <x v="1"/>
  </r>
  <r>
    <x v="2196"/>
    <x v="1"/>
    <x v="1"/>
    <n v="64.2"/>
    <n v="128.4"/>
    <x v="80"/>
    <d v="2025-03-23T00:00:00"/>
    <x v="2"/>
    <x v="0"/>
    <x v="1"/>
    <x v="0"/>
    <x v="17"/>
    <x v="3"/>
    <x v="11"/>
    <x v="2"/>
  </r>
  <r>
    <x v="2197"/>
    <x v="2"/>
    <x v="12"/>
    <n v="145.69999999999999"/>
    <n v="582.79999999999995"/>
    <x v="80"/>
    <d v="2025-03-23T00:00:00"/>
    <x v="2"/>
    <x v="0"/>
    <x v="4"/>
    <x v="0"/>
    <x v="17"/>
    <x v="3"/>
    <x v="11"/>
    <x v="2"/>
  </r>
  <r>
    <x v="2198"/>
    <x v="12"/>
    <x v="1"/>
    <n v="78.5"/>
    <n v="157"/>
    <x v="80"/>
    <d v="2025-03-23T00:00:00"/>
    <x v="1"/>
    <x v="2"/>
    <x v="0"/>
    <x v="0"/>
    <x v="26"/>
    <x v="3"/>
    <x v="11"/>
    <x v="1"/>
  </r>
  <r>
    <x v="2199"/>
    <x v="1"/>
    <x v="0"/>
    <n v="34.200000000000003"/>
    <n v="34.200000000000003"/>
    <x v="80"/>
    <d v="2025-03-24T00:00:00"/>
    <x v="1"/>
    <x v="0"/>
    <x v="0"/>
    <x v="0"/>
    <x v="9"/>
    <x v="1"/>
    <x v="11"/>
    <x v="1"/>
  </r>
  <r>
    <x v="2200"/>
    <x v="19"/>
    <x v="0"/>
    <n v="26.2"/>
    <n v="26.2"/>
    <x v="80"/>
    <d v="2025-03-23T00:00:00"/>
    <x v="1"/>
    <x v="2"/>
    <x v="0"/>
    <x v="0"/>
    <x v="9"/>
    <x v="3"/>
    <x v="11"/>
    <x v="1"/>
  </r>
  <r>
    <x v="2201"/>
    <x v="6"/>
    <x v="12"/>
    <n v="53.2"/>
    <n v="212.8"/>
    <x v="80"/>
    <d v="2025-03-23T00:00:00"/>
    <x v="1"/>
    <x v="1"/>
    <x v="1"/>
    <x v="0"/>
    <x v="11"/>
    <x v="3"/>
    <x v="11"/>
    <x v="1"/>
  </r>
  <r>
    <x v="2202"/>
    <x v="1"/>
    <x v="0"/>
    <n v="35.4"/>
    <n v="35.4"/>
    <x v="80"/>
    <d v="2025-03-26T00:00:00"/>
    <x v="1"/>
    <x v="1"/>
    <x v="4"/>
    <x v="0"/>
    <x v="18"/>
    <x v="5"/>
    <x v="11"/>
    <x v="1"/>
  </r>
  <r>
    <x v="2203"/>
    <x v="14"/>
    <x v="1"/>
    <n v="21.3"/>
    <n v="42.6"/>
    <x v="80"/>
    <d v="2025-03-23T00:00:00"/>
    <x v="1"/>
    <x v="2"/>
    <x v="0"/>
    <x v="0"/>
    <x v="20"/>
    <x v="3"/>
    <x v="11"/>
    <x v="1"/>
  </r>
  <r>
    <x v="2204"/>
    <x v="8"/>
    <x v="12"/>
    <n v="32.9"/>
    <n v="131.6"/>
    <x v="80"/>
    <d v="2025-03-25T00:00:00"/>
    <x v="2"/>
    <x v="4"/>
    <x v="2"/>
    <x v="0"/>
    <x v="21"/>
    <x v="2"/>
    <x v="11"/>
    <x v="2"/>
  </r>
  <r>
    <x v="2205"/>
    <x v="5"/>
    <x v="20"/>
    <n v="85.5"/>
    <n v="1282.5"/>
    <x v="80"/>
    <d v="2025-03-24T00:00:00"/>
    <x v="2"/>
    <x v="3"/>
    <x v="1"/>
    <x v="0"/>
    <x v="21"/>
    <x v="1"/>
    <x v="11"/>
    <x v="2"/>
  </r>
  <r>
    <x v="2206"/>
    <x v="4"/>
    <x v="0"/>
    <n v="26.8"/>
    <n v="26.8"/>
    <x v="80"/>
    <d v="2025-03-23T00:00:00"/>
    <x v="2"/>
    <x v="0"/>
    <x v="1"/>
    <x v="0"/>
    <x v="2"/>
    <x v="3"/>
    <x v="11"/>
    <x v="2"/>
  </r>
  <r>
    <x v="2207"/>
    <x v="9"/>
    <x v="18"/>
    <n v="31.7"/>
    <n v="824.19999999999993"/>
    <x v="80"/>
    <d v="2025-03-22T00:00:00"/>
    <x v="2"/>
    <x v="3"/>
    <x v="0"/>
    <x v="0"/>
    <x v="2"/>
    <x v="7"/>
    <x v="11"/>
    <x v="2"/>
  </r>
  <r>
    <x v="2208"/>
    <x v="1"/>
    <x v="1"/>
    <n v="78.3"/>
    <n v="156.6"/>
    <x v="80"/>
    <d v="2025-03-24T00:00:00"/>
    <x v="2"/>
    <x v="1"/>
    <x v="1"/>
    <x v="0"/>
    <x v="3"/>
    <x v="1"/>
    <x v="11"/>
    <x v="2"/>
  </r>
  <r>
    <x v="2209"/>
    <x v="6"/>
    <x v="0"/>
    <n v="43.9"/>
    <n v="43.9"/>
    <x v="80"/>
    <d v="2025-03-23T00:00:00"/>
    <x v="1"/>
    <x v="0"/>
    <x v="0"/>
    <x v="0"/>
    <x v="3"/>
    <x v="3"/>
    <x v="11"/>
    <x v="1"/>
  </r>
  <r>
    <x v="2210"/>
    <x v="18"/>
    <x v="2"/>
    <n v="84"/>
    <n v="252"/>
    <x v="80"/>
    <d v="2025-03-24T00:00:00"/>
    <x v="0"/>
    <x v="3"/>
    <x v="2"/>
    <x v="0"/>
    <x v="3"/>
    <x v="1"/>
    <x v="11"/>
    <x v="0"/>
  </r>
  <r>
    <x v="2211"/>
    <x v="0"/>
    <x v="2"/>
    <n v="11.4"/>
    <n v="34.200000000000003"/>
    <x v="80"/>
    <d v="2025-03-23T00:00:00"/>
    <x v="1"/>
    <x v="4"/>
    <x v="0"/>
    <x v="0"/>
    <x v="3"/>
    <x v="3"/>
    <x v="11"/>
    <x v="1"/>
  </r>
  <r>
    <x v="2212"/>
    <x v="12"/>
    <x v="8"/>
    <n v="47.5"/>
    <n v="380"/>
    <x v="80"/>
    <d v="2025-03-30T00:00:00"/>
    <x v="2"/>
    <x v="0"/>
    <x v="0"/>
    <x v="0"/>
    <x v="3"/>
    <x v="9"/>
    <x v="11"/>
    <x v="2"/>
  </r>
  <r>
    <x v="2213"/>
    <x v="9"/>
    <x v="5"/>
    <n v="50.5"/>
    <n v="555.5"/>
    <x v="80"/>
    <d v="2025-03-24T00:00:00"/>
    <x v="1"/>
    <x v="2"/>
    <x v="0"/>
    <x v="0"/>
    <x v="3"/>
    <x v="1"/>
    <x v="11"/>
    <x v="1"/>
  </r>
  <r>
    <x v="2214"/>
    <x v="15"/>
    <x v="0"/>
    <n v="36.299999999999997"/>
    <n v="36.299999999999997"/>
    <x v="80"/>
    <d v="2025-03-25T00:00:00"/>
    <x v="3"/>
    <x v="0"/>
    <x v="1"/>
    <x v="0"/>
    <x v="8"/>
    <x v="2"/>
    <x v="11"/>
    <x v="3"/>
  </r>
  <r>
    <x v="2215"/>
    <x v="8"/>
    <x v="1"/>
    <n v="35.4"/>
    <n v="70.8"/>
    <x v="80"/>
    <d v="2025-03-23T00:00:00"/>
    <x v="2"/>
    <x v="0"/>
    <x v="0"/>
    <x v="0"/>
    <x v="17"/>
    <x v="3"/>
    <x v="11"/>
    <x v="2"/>
  </r>
  <r>
    <x v="2216"/>
    <x v="1"/>
    <x v="2"/>
    <n v="45.9"/>
    <n v="137.69999999999999"/>
    <x v="81"/>
    <d v="2025-03-24T00:00:00"/>
    <x v="1"/>
    <x v="3"/>
    <x v="0"/>
    <x v="0"/>
    <x v="9"/>
    <x v="3"/>
    <x v="12"/>
    <x v="1"/>
  </r>
  <r>
    <x v="2217"/>
    <x v="6"/>
    <x v="7"/>
    <n v="41.2"/>
    <n v="412"/>
    <x v="81"/>
    <d v="2025-03-27T00:00:00"/>
    <x v="1"/>
    <x v="0"/>
    <x v="0"/>
    <x v="0"/>
    <x v="11"/>
    <x v="5"/>
    <x v="12"/>
    <x v="1"/>
  </r>
  <r>
    <x v="2218"/>
    <x v="17"/>
    <x v="1"/>
    <n v="45.1"/>
    <n v="90.2"/>
    <x v="81"/>
    <d v="2025-03-24T00:00:00"/>
    <x v="1"/>
    <x v="1"/>
    <x v="1"/>
    <x v="0"/>
    <x v="21"/>
    <x v="3"/>
    <x v="12"/>
    <x v="1"/>
  </r>
  <r>
    <x v="2219"/>
    <x v="6"/>
    <x v="7"/>
    <n v="63.6"/>
    <n v="636"/>
    <x v="81"/>
    <d v="2025-03-23T00:00:00"/>
    <x v="1"/>
    <x v="2"/>
    <x v="0"/>
    <x v="0"/>
    <x v="1"/>
    <x v="7"/>
    <x v="12"/>
    <x v="1"/>
  </r>
  <r>
    <x v="2220"/>
    <x v="8"/>
    <x v="0"/>
    <n v="70.5"/>
    <n v="70.5"/>
    <x v="81"/>
    <d v="2025-03-24T00:00:00"/>
    <x v="1"/>
    <x v="0"/>
    <x v="0"/>
    <x v="0"/>
    <x v="3"/>
    <x v="3"/>
    <x v="12"/>
    <x v="1"/>
  </r>
  <r>
    <x v="2221"/>
    <x v="6"/>
    <x v="0"/>
    <n v="41.3"/>
    <n v="41.3"/>
    <x v="81"/>
    <d v="2025-03-23T00:00:00"/>
    <x v="1"/>
    <x v="4"/>
    <x v="0"/>
    <x v="0"/>
    <x v="3"/>
    <x v="7"/>
    <x v="12"/>
    <x v="1"/>
  </r>
  <r>
    <x v="2222"/>
    <x v="4"/>
    <x v="0"/>
    <n v="35.299999999999997"/>
    <n v="35.299999999999997"/>
    <x v="81"/>
    <d v="2025-03-26T00:00:00"/>
    <x v="2"/>
    <x v="4"/>
    <x v="2"/>
    <x v="0"/>
    <x v="3"/>
    <x v="2"/>
    <x v="12"/>
    <x v="2"/>
  </r>
  <r>
    <x v="2223"/>
    <x v="8"/>
    <x v="9"/>
    <n v="34.700000000000003"/>
    <n v="173.5"/>
    <x v="81"/>
    <d v="2025-03-24T00:00:00"/>
    <x v="2"/>
    <x v="0"/>
    <x v="2"/>
    <x v="0"/>
    <x v="3"/>
    <x v="3"/>
    <x v="12"/>
    <x v="2"/>
  </r>
  <r>
    <x v="2224"/>
    <x v="8"/>
    <x v="2"/>
    <n v="26.1"/>
    <n v="78.300000000000011"/>
    <x v="81"/>
    <d v="2025-03-24T00:00:00"/>
    <x v="2"/>
    <x v="0"/>
    <x v="0"/>
    <x v="0"/>
    <x v="3"/>
    <x v="3"/>
    <x v="12"/>
    <x v="2"/>
  </r>
  <r>
    <x v="2225"/>
    <x v="9"/>
    <x v="9"/>
    <n v="22.6"/>
    <n v="113"/>
    <x v="81"/>
    <d v="2025-03-23T00:00:00"/>
    <x v="2"/>
    <x v="1"/>
    <x v="2"/>
    <x v="0"/>
    <x v="3"/>
    <x v="7"/>
    <x v="12"/>
    <x v="2"/>
  </r>
  <r>
    <x v="2226"/>
    <x v="2"/>
    <x v="1"/>
    <n v="154.4"/>
    <n v="308.8"/>
    <x v="81"/>
    <d v="2025-03-26T00:00:00"/>
    <x v="1"/>
    <x v="1"/>
    <x v="1"/>
    <x v="0"/>
    <x v="3"/>
    <x v="2"/>
    <x v="12"/>
    <x v="1"/>
  </r>
  <r>
    <x v="2227"/>
    <x v="8"/>
    <x v="1"/>
    <n v="18.399999999999999"/>
    <n v="36.799999999999997"/>
    <x v="81"/>
    <d v="2025-03-24T00:00:00"/>
    <x v="1"/>
    <x v="0"/>
    <x v="0"/>
    <x v="0"/>
    <x v="3"/>
    <x v="3"/>
    <x v="12"/>
    <x v="1"/>
  </r>
  <r>
    <x v="2228"/>
    <x v="14"/>
    <x v="0"/>
    <n v="25"/>
    <n v="25"/>
    <x v="81"/>
    <d v="2025-03-26T00:00:00"/>
    <x v="2"/>
    <x v="0"/>
    <x v="0"/>
    <x v="0"/>
    <x v="3"/>
    <x v="2"/>
    <x v="12"/>
    <x v="2"/>
  </r>
  <r>
    <x v="2229"/>
    <x v="2"/>
    <x v="13"/>
    <n v="105.6"/>
    <n v="633.59999999999991"/>
    <x v="81"/>
    <d v="2025-03-23T00:00:00"/>
    <x v="2"/>
    <x v="0"/>
    <x v="0"/>
    <x v="0"/>
    <x v="3"/>
    <x v="7"/>
    <x v="12"/>
    <x v="2"/>
  </r>
  <r>
    <x v="2230"/>
    <x v="18"/>
    <x v="8"/>
    <n v="59.6"/>
    <n v="476.8"/>
    <x v="81"/>
    <d v="2025-03-23T00:00:00"/>
    <x v="2"/>
    <x v="0"/>
    <x v="2"/>
    <x v="0"/>
    <x v="23"/>
    <x v="7"/>
    <x v="12"/>
    <x v="2"/>
  </r>
  <r>
    <x v="2231"/>
    <x v="15"/>
    <x v="2"/>
    <n v="75.400000000000006"/>
    <n v="226.20000000000002"/>
    <x v="81"/>
    <d v="2025-03-28T00:00:00"/>
    <x v="1"/>
    <x v="0"/>
    <x v="1"/>
    <x v="0"/>
    <x v="7"/>
    <x v="0"/>
    <x v="12"/>
    <x v="1"/>
  </r>
  <r>
    <x v="2232"/>
    <x v="7"/>
    <x v="0"/>
    <n v="104.4"/>
    <n v="104.4"/>
    <x v="81"/>
    <d v="2025-03-24T00:00:00"/>
    <x v="2"/>
    <x v="0"/>
    <x v="0"/>
    <x v="0"/>
    <x v="8"/>
    <x v="3"/>
    <x v="12"/>
    <x v="2"/>
  </r>
  <r>
    <x v="2233"/>
    <x v="2"/>
    <x v="7"/>
    <n v="208.2"/>
    <n v="2082"/>
    <x v="81"/>
    <d v="2025-03-24T00:00:00"/>
    <x v="1"/>
    <x v="0"/>
    <x v="2"/>
    <x v="0"/>
    <x v="8"/>
    <x v="3"/>
    <x v="12"/>
    <x v="1"/>
  </r>
  <r>
    <x v="2234"/>
    <x v="6"/>
    <x v="1"/>
    <n v="45"/>
    <n v="90"/>
    <x v="81"/>
    <d v="2025-03-26T00:00:00"/>
    <x v="2"/>
    <x v="0"/>
    <x v="0"/>
    <x v="0"/>
    <x v="10"/>
    <x v="2"/>
    <x v="12"/>
    <x v="2"/>
  </r>
  <r>
    <x v="2235"/>
    <x v="15"/>
    <x v="1"/>
    <n v="20.3"/>
    <n v="40.6"/>
    <x v="82"/>
    <d v="2025-03-26T00:00:00"/>
    <x v="0"/>
    <x v="1"/>
    <x v="0"/>
    <x v="0"/>
    <x v="11"/>
    <x v="1"/>
    <x v="12"/>
    <x v="0"/>
  </r>
  <r>
    <x v="2236"/>
    <x v="2"/>
    <x v="2"/>
    <n v="94.4"/>
    <n v="283.20000000000005"/>
    <x v="82"/>
    <d v="2025-03-25T00:00:00"/>
    <x v="2"/>
    <x v="0"/>
    <x v="2"/>
    <x v="0"/>
    <x v="11"/>
    <x v="3"/>
    <x v="12"/>
    <x v="2"/>
  </r>
  <r>
    <x v="2237"/>
    <x v="9"/>
    <x v="0"/>
    <n v="49"/>
    <n v="49"/>
    <x v="82"/>
    <d v="2025-03-26T00:00:00"/>
    <x v="2"/>
    <x v="0"/>
    <x v="2"/>
    <x v="0"/>
    <x v="20"/>
    <x v="1"/>
    <x v="12"/>
    <x v="2"/>
  </r>
  <r>
    <x v="2238"/>
    <x v="4"/>
    <x v="1"/>
    <n v="27.2"/>
    <n v="54.4"/>
    <x v="82"/>
    <d v="2025-03-26T00:00:00"/>
    <x v="1"/>
    <x v="0"/>
    <x v="2"/>
    <x v="0"/>
    <x v="1"/>
    <x v="1"/>
    <x v="12"/>
    <x v="1"/>
  </r>
  <r>
    <x v="2239"/>
    <x v="2"/>
    <x v="13"/>
    <n v="72.599999999999994"/>
    <n v="435.59999999999997"/>
    <x v="82"/>
    <d v="2025-03-25T00:00:00"/>
    <x v="2"/>
    <x v="0"/>
    <x v="2"/>
    <x v="0"/>
    <x v="2"/>
    <x v="3"/>
    <x v="12"/>
    <x v="2"/>
  </r>
  <r>
    <x v="2240"/>
    <x v="15"/>
    <x v="12"/>
    <n v="62.4"/>
    <n v="249.6"/>
    <x v="82"/>
    <d v="2025-03-25T00:00:00"/>
    <x v="2"/>
    <x v="0"/>
    <x v="0"/>
    <x v="0"/>
    <x v="3"/>
    <x v="3"/>
    <x v="12"/>
    <x v="2"/>
  </r>
  <r>
    <x v="2241"/>
    <x v="8"/>
    <x v="2"/>
    <n v="19.100000000000001"/>
    <n v="57.300000000000004"/>
    <x v="82"/>
    <d v="2025-03-26T00:00:00"/>
    <x v="1"/>
    <x v="0"/>
    <x v="1"/>
    <x v="0"/>
    <x v="3"/>
    <x v="1"/>
    <x v="12"/>
    <x v="1"/>
  </r>
  <r>
    <x v="2242"/>
    <x v="10"/>
    <x v="0"/>
    <n v="29.6"/>
    <n v="29.6"/>
    <x v="82"/>
    <d v="2025-03-28T00:00:00"/>
    <x v="1"/>
    <x v="0"/>
    <x v="4"/>
    <x v="0"/>
    <x v="3"/>
    <x v="5"/>
    <x v="12"/>
    <x v="1"/>
  </r>
  <r>
    <x v="2243"/>
    <x v="8"/>
    <x v="1"/>
    <n v="18.899999999999999"/>
    <n v="37.799999999999997"/>
    <x v="82"/>
    <d v="2025-03-26T00:00:00"/>
    <x v="2"/>
    <x v="4"/>
    <x v="2"/>
    <x v="0"/>
    <x v="3"/>
    <x v="1"/>
    <x v="12"/>
    <x v="2"/>
  </r>
  <r>
    <x v="2244"/>
    <x v="10"/>
    <x v="9"/>
    <n v="41.4"/>
    <n v="207"/>
    <x v="82"/>
    <d v="2025-03-25T00:00:00"/>
    <x v="1"/>
    <x v="3"/>
    <x v="0"/>
    <x v="0"/>
    <x v="3"/>
    <x v="3"/>
    <x v="12"/>
    <x v="1"/>
  </r>
  <r>
    <x v="2245"/>
    <x v="2"/>
    <x v="0"/>
    <n v="118.4"/>
    <n v="118.4"/>
    <x v="82"/>
    <d v="2025-03-25T00:00:00"/>
    <x v="2"/>
    <x v="0"/>
    <x v="2"/>
    <x v="0"/>
    <x v="3"/>
    <x v="3"/>
    <x v="12"/>
    <x v="2"/>
  </r>
  <r>
    <x v="2246"/>
    <x v="2"/>
    <x v="1"/>
    <n v="125.3"/>
    <n v="250.6"/>
    <x v="82"/>
    <d v="2025-03-27T00:00:00"/>
    <x v="2"/>
    <x v="0"/>
    <x v="2"/>
    <x v="0"/>
    <x v="3"/>
    <x v="2"/>
    <x v="12"/>
    <x v="2"/>
  </r>
  <r>
    <x v="2247"/>
    <x v="3"/>
    <x v="1"/>
    <n v="85.8"/>
    <n v="171.6"/>
    <x v="82"/>
    <d v="2025-03-25T00:00:00"/>
    <x v="2"/>
    <x v="1"/>
    <x v="4"/>
    <x v="0"/>
    <x v="3"/>
    <x v="3"/>
    <x v="12"/>
    <x v="2"/>
  </r>
  <r>
    <x v="2248"/>
    <x v="6"/>
    <x v="0"/>
    <n v="44.2"/>
    <n v="44.2"/>
    <x v="82"/>
    <d v="2025-03-27T00:00:00"/>
    <x v="1"/>
    <x v="1"/>
    <x v="0"/>
    <x v="0"/>
    <x v="3"/>
    <x v="2"/>
    <x v="12"/>
    <x v="1"/>
  </r>
  <r>
    <x v="2249"/>
    <x v="5"/>
    <x v="12"/>
    <n v="74.099999999999994"/>
    <n v="296.39999999999998"/>
    <x v="82"/>
    <d v="2025-03-26T00:00:00"/>
    <x v="2"/>
    <x v="0"/>
    <x v="0"/>
    <x v="0"/>
    <x v="3"/>
    <x v="1"/>
    <x v="12"/>
    <x v="2"/>
  </r>
  <r>
    <x v="2250"/>
    <x v="8"/>
    <x v="0"/>
    <n v="33.799999999999997"/>
    <n v="33.799999999999997"/>
    <x v="82"/>
    <d v="2025-03-25T00:00:00"/>
    <x v="2"/>
    <x v="2"/>
    <x v="2"/>
    <x v="0"/>
    <x v="24"/>
    <x v="3"/>
    <x v="12"/>
    <x v="2"/>
  </r>
  <r>
    <x v="2251"/>
    <x v="1"/>
    <x v="1"/>
    <n v="39.1"/>
    <n v="78.2"/>
    <x v="82"/>
    <d v="2025-03-25T00:00:00"/>
    <x v="1"/>
    <x v="0"/>
    <x v="1"/>
    <x v="0"/>
    <x v="24"/>
    <x v="3"/>
    <x v="12"/>
    <x v="1"/>
  </r>
  <r>
    <x v="2252"/>
    <x v="0"/>
    <x v="0"/>
    <n v="37.200000000000003"/>
    <n v="37.200000000000003"/>
    <x v="82"/>
    <d v="2025-03-25T00:00:00"/>
    <x v="1"/>
    <x v="0"/>
    <x v="1"/>
    <x v="0"/>
    <x v="16"/>
    <x v="3"/>
    <x v="12"/>
    <x v="1"/>
  </r>
  <r>
    <x v="2253"/>
    <x v="15"/>
    <x v="2"/>
    <n v="33.9"/>
    <n v="101.69999999999999"/>
    <x v="82"/>
    <d v="2025-03-26T00:00:00"/>
    <x v="1"/>
    <x v="2"/>
    <x v="0"/>
    <x v="0"/>
    <x v="6"/>
    <x v="1"/>
    <x v="12"/>
    <x v="1"/>
  </r>
  <r>
    <x v="2254"/>
    <x v="7"/>
    <x v="20"/>
    <n v="73.3"/>
    <n v="1099.5"/>
    <x v="82"/>
    <d v="2025-03-27T00:00:00"/>
    <x v="2"/>
    <x v="2"/>
    <x v="1"/>
    <x v="0"/>
    <x v="8"/>
    <x v="2"/>
    <x v="12"/>
    <x v="2"/>
  </r>
  <r>
    <x v="2255"/>
    <x v="8"/>
    <x v="12"/>
    <n v="35"/>
    <n v="140"/>
    <x v="82"/>
    <d v="2025-03-26T00:00:00"/>
    <x v="2"/>
    <x v="1"/>
    <x v="0"/>
    <x v="0"/>
    <x v="8"/>
    <x v="1"/>
    <x v="12"/>
    <x v="2"/>
  </r>
  <r>
    <x v="2256"/>
    <x v="0"/>
    <x v="2"/>
    <n v="22.2"/>
    <n v="66.599999999999994"/>
    <x v="82"/>
    <d v="2025-03-25T00:00:00"/>
    <x v="1"/>
    <x v="1"/>
    <x v="0"/>
    <x v="0"/>
    <x v="17"/>
    <x v="3"/>
    <x v="12"/>
    <x v="1"/>
  </r>
  <r>
    <x v="2257"/>
    <x v="10"/>
    <x v="0"/>
    <n v="32.4"/>
    <n v="32.4"/>
    <x v="82"/>
    <d v="2025-03-25T00:00:00"/>
    <x v="2"/>
    <x v="0"/>
    <x v="0"/>
    <x v="0"/>
    <x v="11"/>
    <x v="3"/>
    <x v="12"/>
    <x v="2"/>
  </r>
  <r>
    <x v="2258"/>
    <x v="5"/>
    <x v="2"/>
    <n v="88.4"/>
    <n v="265.20000000000005"/>
    <x v="83"/>
    <d v="2025-03-27T00:00:00"/>
    <x v="2"/>
    <x v="1"/>
    <x v="1"/>
    <x v="0"/>
    <x v="11"/>
    <x v="1"/>
    <x v="12"/>
    <x v="2"/>
  </r>
  <r>
    <x v="2259"/>
    <x v="5"/>
    <x v="27"/>
    <n v="30.5"/>
    <n v="488"/>
    <x v="83"/>
    <d v="2025-03-26T00:00:00"/>
    <x v="2"/>
    <x v="2"/>
    <x v="0"/>
    <x v="0"/>
    <x v="11"/>
    <x v="3"/>
    <x v="12"/>
    <x v="2"/>
  </r>
  <r>
    <x v="2260"/>
    <x v="1"/>
    <x v="13"/>
    <n v="38.1"/>
    <n v="228.60000000000002"/>
    <x v="83"/>
    <d v="2025-03-27T00:00:00"/>
    <x v="2"/>
    <x v="0"/>
    <x v="1"/>
    <x v="0"/>
    <x v="11"/>
    <x v="1"/>
    <x v="12"/>
    <x v="2"/>
  </r>
  <r>
    <x v="2261"/>
    <x v="10"/>
    <x v="9"/>
    <n v="37.6"/>
    <n v="188"/>
    <x v="83"/>
    <d v="2025-03-29T00:00:00"/>
    <x v="1"/>
    <x v="0"/>
    <x v="0"/>
    <x v="0"/>
    <x v="11"/>
    <x v="5"/>
    <x v="12"/>
    <x v="1"/>
  </r>
  <r>
    <x v="2262"/>
    <x v="15"/>
    <x v="1"/>
    <n v="31.4"/>
    <n v="62.8"/>
    <x v="83"/>
    <d v="2025-03-26T00:00:00"/>
    <x v="1"/>
    <x v="0"/>
    <x v="2"/>
    <x v="0"/>
    <x v="11"/>
    <x v="3"/>
    <x v="12"/>
    <x v="1"/>
  </r>
  <r>
    <x v="2263"/>
    <x v="6"/>
    <x v="1"/>
    <n v="61.5"/>
    <n v="123"/>
    <x v="83"/>
    <d v="2025-03-26T00:00:00"/>
    <x v="1"/>
    <x v="3"/>
    <x v="0"/>
    <x v="0"/>
    <x v="31"/>
    <x v="3"/>
    <x v="12"/>
    <x v="1"/>
  </r>
  <r>
    <x v="2264"/>
    <x v="6"/>
    <x v="0"/>
    <n v="72.599999999999994"/>
    <n v="72.599999999999994"/>
    <x v="83"/>
    <d v="2025-03-26T00:00:00"/>
    <x v="1"/>
    <x v="0"/>
    <x v="1"/>
    <x v="0"/>
    <x v="21"/>
    <x v="3"/>
    <x v="12"/>
    <x v="1"/>
  </r>
  <r>
    <x v="2265"/>
    <x v="9"/>
    <x v="2"/>
    <n v="26.9"/>
    <n v="80.699999999999989"/>
    <x v="83"/>
    <d v="2025-03-30T00:00:00"/>
    <x v="3"/>
    <x v="4"/>
    <x v="1"/>
    <x v="0"/>
    <x v="46"/>
    <x v="0"/>
    <x v="12"/>
    <x v="3"/>
  </r>
  <r>
    <x v="2266"/>
    <x v="17"/>
    <x v="4"/>
    <n v="29.4"/>
    <n v="352.79999999999995"/>
    <x v="83"/>
    <d v="2025-03-26T00:00:00"/>
    <x v="2"/>
    <x v="1"/>
    <x v="0"/>
    <x v="0"/>
    <x v="51"/>
    <x v="3"/>
    <x v="12"/>
    <x v="2"/>
  </r>
  <r>
    <x v="2267"/>
    <x v="17"/>
    <x v="1"/>
    <n v="42.1"/>
    <n v="84.2"/>
    <x v="83"/>
    <d v="2025-03-26T00:00:00"/>
    <x v="2"/>
    <x v="3"/>
    <x v="1"/>
    <x v="0"/>
    <x v="1"/>
    <x v="3"/>
    <x v="12"/>
    <x v="2"/>
  </r>
  <r>
    <x v="2268"/>
    <x v="5"/>
    <x v="0"/>
    <n v="40.5"/>
    <n v="40.5"/>
    <x v="83"/>
    <d v="2025-03-26T00:00:00"/>
    <x v="2"/>
    <x v="2"/>
    <x v="1"/>
    <x v="0"/>
    <x v="1"/>
    <x v="3"/>
    <x v="12"/>
    <x v="2"/>
  </r>
  <r>
    <x v="2269"/>
    <x v="2"/>
    <x v="12"/>
    <n v="182.3"/>
    <n v="729.2"/>
    <x v="83"/>
    <d v="2025-03-26T00:00:00"/>
    <x v="2"/>
    <x v="1"/>
    <x v="0"/>
    <x v="0"/>
    <x v="1"/>
    <x v="3"/>
    <x v="12"/>
    <x v="2"/>
  </r>
  <r>
    <x v="2270"/>
    <x v="2"/>
    <x v="9"/>
    <n v="157"/>
    <n v="785"/>
    <x v="83"/>
    <d v="2025-03-28T00:00:00"/>
    <x v="2"/>
    <x v="1"/>
    <x v="2"/>
    <x v="0"/>
    <x v="2"/>
    <x v="2"/>
    <x v="12"/>
    <x v="2"/>
  </r>
  <r>
    <x v="2271"/>
    <x v="17"/>
    <x v="9"/>
    <n v="45.2"/>
    <n v="226"/>
    <x v="83"/>
    <d v="2025-03-28T00:00:00"/>
    <x v="2"/>
    <x v="1"/>
    <x v="0"/>
    <x v="0"/>
    <x v="22"/>
    <x v="2"/>
    <x v="12"/>
    <x v="2"/>
  </r>
  <r>
    <x v="2272"/>
    <x v="15"/>
    <x v="12"/>
    <n v="27.4"/>
    <n v="109.6"/>
    <x v="83"/>
    <d v="2025-03-27T00:00:00"/>
    <x v="2"/>
    <x v="0"/>
    <x v="0"/>
    <x v="0"/>
    <x v="3"/>
    <x v="1"/>
    <x v="12"/>
    <x v="2"/>
  </r>
  <r>
    <x v="2273"/>
    <x v="5"/>
    <x v="9"/>
    <n v="34.1"/>
    <n v="170.5"/>
    <x v="83"/>
    <d v="2025-03-27T00:00:00"/>
    <x v="1"/>
    <x v="0"/>
    <x v="2"/>
    <x v="0"/>
    <x v="3"/>
    <x v="1"/>
    <x v="12"/>
    <x v="1"/>
  </r>
  <r>
    <x v="2274"/>
    <x v="0"/>
    <x v="1"/>
    <n v="26"/>
    <n v="52"/>
    <x v="83"/>
    <d v="2025-03-27T00:00:00"/>
    <x v="1"/>
    <x v="2"/>
    <x v="1"/>
    <x v="0"/>
    <x v="3"/>
    <x v="1"/>
    <x v="12"/>
    <x v="1"/>
  </r>
  <r>
    <x v="2275"/>
    <x v="8"/>
    <x v="3"/>
    <n v="19.399999999999999"/>
    <n v="135.79999999999998"/>
    <x v="83"/>
    <d v="2025-03-27T00:00:00"/>
    <x v="0"/>
    <x v="1"/>
    <x v="1"/>
    <x v="0"/>
    <x v="3"/>
    <x v="1"/>
    <x v="12"/>
    <x v="0"/>
  </r>
  <r>
    <x v="2276"/>
    <x v="16"/>
    <x v="2"/>
    <n v="30.3"/>
    <n v="90.9"/>
    <x v="83"/>
    <d v="2025-03-28T00:00:00"/>
    <x v="2"/>
    <x v="1"/>
    <x v="2"/>
    <x v="0"/>
    <x v="3"/>
    <x v="2"/>
    <x v="12"/>
    <x v="2"/>
  </r>
  <r>
    <x v="2277"/>
    <x v="2"/>
    <x v="2"/>
    <n v="101.4"/>
    <n v="304.20000000000005"/>
    <x v="83"/>
    <d v="2025-03-26T00:00:00"/>
    <x v="1"/>
    <x v="0"/>
    <x v="0"/>
    <x v="0"/>
    <x v="3"/>
    <x v="3"/>
    <x v="12"/>
    <x v="1"/>
  </r>
  <r>
    <x v="2278"/>
    <x v="3"/>
    <x v="9"/>
    <n v="55.5"/>
    <n v="277.5"/>
    <x v="83"/>
    <d v="2025-03-28T00:00:00"/>
    <x v="1"/>
    <x v="1"/>
    <x v="0"/>
    <x v="0"/>
    <x v="24"/>
    <x v="2"/>
    <x v="12"/>
    <x v="1"/>
  </r>
  <r>
    <x v="2279"/>
    <x v="8"/>
    <x v="0"/>
    <n v="23.1"/>
    <n v="23.1"/>
    <x v="83"/>
    <d v="2025-03-26T00:00:00"/>
    <x v="1"/>
    <x v="0"/>
    <x v="0"/>
    <x v="0"/>
    <x v="25"/>
    <x v="3"/>
    <x v="12"/>
    <x v="1"/>
  </r>
  <r>
    <x v="2280"/>
    <x v="18"/>
    <x v="1"/>
    <n v="38.9"/>
    <n v="77.8"/>
    <x v="83"/>
    <d v="2025-03-26T00:00:00"/>
    <x v="1"/>
    <x v="2"/>
    <x v="0"/>
    <x v="0"/>
    <x v="25"/>
    <x v="3"/>
    <x v="12"/>
    <x v="1"/>
  </r>
  <r>
    <x v="2281"/>
    <x v="6"/>
    <x v="11"/>
    <n v="116.3"/>
    <n v="1046.7"/>
    <x v="83"/>
    <d v="2025-03-29T00:00:00"/>
    <x v="2"/>
    <x v="0"/>
    <x v="0"/>
    <x v="0"/>
    <x v="5"/>
    <x v="5"/>
    <x v="12"/>
    <x v="2"/>
  </r>
  <r>
    <x v="2282"/>
    <x v="16"/>
    <x v="11"/>
    <n v="64.099999999999994"/>
    <n v="576.9"/>
    <x v="83"/>
    <d v="2025-03-25T00:00:00"/>
    <x v="2"/>
    <x v="0"/>
    <x v="2"/>
    <x v="0"/>
    <x v="6"/>
    <x v="7"/>
    <x v="12"/>
    <x v="2"/>
  </r>
  <r>
    <x v="2283"/>
    <x v="2"/>
    <x v="13"/>
    <n v="109.2"/>
    <n v="655.20000000000005"/>
    <x v="83"/>
    <d v="2025-03-27T00:00:00"/>
    <x v="1"/>
    <x v="0"/>
    <x v="1"/>
    <x v="0"/>
    <x v="8"/>
    <x v="1"/>
    <x v="12"/>
    <x v="1"/>
  </r>
  <r>
    <x v="2284"/>
    <x v="10"/>
    <x v="9"/>
    <n v="23.2"/>
    <n v="116"/>
    <x v="84"/>
    <d v="2025-03-27T00:00:00"/>
    <x v="1"/>
    <x v="0"/>
    <x v="1"/>
    <x v="0"/>
    <x v="8"/>
    <x v="3"/>
    <x v="12"/>
    <x v="1"/>
  </r>
  <r>
    <x v="2285"/>
    <x v="18"/>
    <x v="13"/>
    <n v="81.2"/>
    <n v="487.20000000000005"/>
    <x v="84"/>
    <d v="2025-03-28T00:00:00"/>
    <x v="1"/>
    <x v="2"/>
    <x v="2"/>
    <x v="0"/>
    <x v="8"/>
    <x v="1"/>
    <x v="12"/>
    <x v="1"/>
  </r>
  <r>
    <x v="2286"/>
    <x v="1"/>
    <x v="21"/>
    <n v="35.700000000000003"/>
    <n v="499.80000000000007"/>
    <x v="84"/>
    <d v="2025-03-27T00:00:00"/>
    <x v="1"/>
    <x v="3"/>
    <x v="0"/>
    <x v="0"/>
    <x v="8"/>
    <x v="3"/>
    <x v="12"/>
    <x v="1"/>
  </r>
  <r>
    <x v="2287"/>
    <x v="7"/>
    <x v="1"/>
    <n v="44.5"/>
    <n v="89"/>
    <x v="84"/>
    <d v="2025-03-29T00:00:00"/>
    <x v="1"/>
    <x v="4"/>
    <x v="0"/>
    <x v="0"/>
    <x v="9"/>
    <x v="2"/>
    <x v="12"/>
    <x v="1"/>
  </r>
  <r>
    <x v="2288"/>
    <x v="1"/>
    <x v="9"/>
    <n v="32"/>
    <n v="160"/>
    <x v="84"/>
    <d v="2025-03-28T00:00:00"/>
    <x v="3"/>
    <x v="1"/>
    <x v="1"/>
    <x v="0"/>
    <x v="9"/>
    <x v="1"/>
    <x v="12"/>
    <x v="3"/>
  </r>
  <r>
    <x v="2289"/>
    <x v="8"/>
    <x v="0"/>
    <n v="25.7"/>
    <n v="25.7"/>
    <x v="84"/>
    <d v="2025-03-27T00:00:00"/>
    <x v="1"/>
    <x v="0"/>
    <x v="0"/>
    <x v="0"/>
    <x v="10"/>
    <x v="3"/>
    <x v="12"/>
    <x v="1"/>
  </r>
  <r>
    <x v="2290"/>
    <x v="16"/>
    <x v="2"/>
    <n v="65.599999999999994"/>
    <n v="196.79999999999998"/>
    <x v="84"/>
    <d v="2025-04-01T00:00:00"/>
    <x v="1"/>
    <x v="0"/>
    <x v="0"/>
    <x v="0"/>
    <x v="11"/>
    <x v="4"/>
    <x v="12"/>
    <x v="1"/>
  </r>
  <r>
    <x v="2291"/>
    <x v="1"/>
    <x v="12"/>
    <n v="52.1"/>
    <n v="208.4"/>
    <x v="84"/>
    <d v="2025-03-27T00:00:00"/>
    <x v="2"/>
    <x v="0"/>
    <x v="2"/>
    <x v="0"/>
    <x v="11"/>
    <x v="3"/>
    <x v="12"/>
    <x v="2"/>
  </r>
  <r>
    <x v="2292"/>
    <x v="8"/>
    <x v="0"/>
    <n v="31"/>
    <n v="31"/>
    <x v="84"/>
    <d v="2025-03-27T00:00:00"/>
    <x v="1"/>
    <x v="0"/>
    <x v="1"/>
    <x v="0"/>
    <x v="19"/>
    <x v="3"/>
    <x v="12"/>
    <x v="1"/>
  </r>
  <r>
    <x v="2293"/>
    <x v="8"/>
    <x v="0"/>
    <n v="32"/>
    <n v="32"/>
    <x v="84"/>
    <d v="2025-03-28T00:00:00"/>
    <x v="3"/>
    <x v="3"/>
    <x v="1"/>
    <x v="0"/>
    <x v="31"/>
    <x v="1"/>
    <x v="12"/>
    <x v="3"/>
  </r>
  <r>
    <x v="2294"/>
    <x v="16"/>
    <x v="12"/>
    <n v="58.3"/>
    <n v="233.2"/>
    <x v="84"/>
    <d v="2025-03-30T00:00:00"/>
    <x v="1"/>
    <x v="1"/>
    <x v="4"/>
    <x v="0"/>
    <x v="20"/>
    <x v="5"/>
    <x v="12"/>
    <x v="1"/>
  </r>
  <r>
    <x v="2295"/>
    <x v="8"/>
    <x v="2"/>
    <n v="31"/>
    <n v="93"/>
    <x v="84"/>
    <d v="2025-03-28T00:00:00"/>
    <x v="2"/>
    <x v="2"/>
    <x v="4"/>
    <x v="0"/>
    <x v="13"/>
    <x v="1"/>
    <x v="12"/>
    <x v="2"/>
  </r>
  <r>
    <x v="2296"/>
    <x v="3"/>
    <x v="0"/>
    <n v="40.299999999999997"/>
    <n v="40.299999999999997"/>
    <x v="84"/>
    <d v="2025-03-27T00:00:00"/>
    <x v="1"/>
    <x v="1"/>
    <x v="2"/>
    <x v="0"/>
    <x v="54"/>
    <x v="3"/>
    <x v="12"/>
    <x v="1"/>
  </r>
  <r>
    <x v="2297"/>
    <x v="6"/>
    <x v="2"/>
    <n v="47.3"/>
    <n v="141.89999999999998"/>
    <x v="84"/>
    <d v="2025-03-28T00:00:00"/>
    <x v="1"/>
    <x v="4"/>
    <x v="2"/>
    <x v="0"/>
    <x v="2"/>
    <x v="1"/>
    <x v="12"/>
    <x v="1"/>
  </r>
  <r>
    <x v="2298"/>
    <x v="2"/>
    <x v="0"/>
    <n v="82.8"/>
    <n v="82.8"/>
    <x v="84"/>
    <d v="2025-03-27T00:00:00"/>
    <x v="1"/>
    <x v="0"/>
    <x v="0"/>
    <x v="0"/>
    <x v="2"/>
    <x v="3"/>
    <x v="12"/>
    <x v="1"/>
  </r>
  <r>
    <x v="2299"/>
    <x v="8"/>
    <x v="0"/>
    <n v="18.5"/>
    <n v="18.5"/>
    <x v="84"/>
    <d v="2025-04-09T00:00:00"/>
    <x v="2"/>
    <x v="0"/>
    <x v="0"/>
    <x v="0"/>
    <x v="44"/>
    <x v="12"/>
    <x v="12"/>
    <x v="2"/>
  </r>
  <r>
    <x v="2300"/>
    <x v="3"/>
    <x v="1"/>
    <n v="60.4"/>
    <n v="120.8"/>
    <x v="84"/>
    <d v="2025-03-27T00:00:00"/>
    <x v="1"/>
    <x v="2"/>
    <x v="0"/>
    <x v="0"/>
    <x v="22"/>
    <x v="3"/>
    <x v="12"/>
    <x v="1"/>
  </r>
  <r>
    <x v="2301"/>
    <x v="6"/>
    <x v="9"/>
    <n v="80.2"/>
    <n v="401"/>
    <x v="84"/>
    <d v="2025-04-02T00:00:00"/>
    <x v="1"/>
    <x v="1"/>
    <x v="1"/>
    <x v="0"/>
    <x v="50"/>
    <x v="6"/>
    <x v="12"/>
    <x v="1"/>
  </r>
  <r>
    <x v="2302"/>
    <x v="4"/>
    <x v="0"/>
    <n v="41.5"/>
    <n v="41.5"/>
    <x v="84"/>
    <d v="2025-03-28T00:00:00"/>
    <x v="1"/>
    <x v="2"/>
    <x v="0"/>
    <x v="0"/>
    <x v="3"/>
    <x v="1"/>
    <x v="12"/>
    <x v="1"/>
  </r>
  <r>
    <x v="2303"/>
    <x v="2"/>
    <x v="1"/>
    <n v="83.9"/>
    <n v="167.8"/>
    <x v="84"/>
    <d v="2025-03-29T00:00:00"/>
    <x v="2"/>
    <x v="0"/>
    <x v="0"/>
    <x v="0"/>
    <x v="3"/>
    <x v="2"/>
    <x v="12"/>
    <x v="2"/>
  </r>
  <r>
    <x v="2304"/>
    <x v="8"/>
    <x v="1"/>
    <n v="16.7"/>
    <n v="33.4"/>
    <x v="84"/>
    <d v="2025-03-30T00:00:00"/>
    <x v="2"/>
    <x v="0"/>
    <x v="1"/>
    <x v="0"/>
    <x v="3"/>
    <x v="5"/>
    <x v="12"/>
    <x v="2"/>
  </r>
  <r>
    <x v="2305"/>
    <x v="9"/>
    <x v="1"/>
    <n v="72.900000000000006"/>
    <n v="145.80000000000001"/>
    <x v="84"/>
    <d v="2025-03-27T00:00:00"/>
    <x v="1"/>
    <x v="2"/>
    <x v="1"/>
    <x v="0"/>
    <x v="3"/>
    <x v="3"/>
    <x v="12"/>
    <x v="1"/>
  </r>
  <r>
    <x v="2306"/>
    <x v="5"/>
    <x v="1"/>
    <n v="50.2"/>
    <n v="100.4"/>
    <x v="84"/>
    <d v="2025-03-28T00:00:00"/>
    <x v="2"/>
    <x v="1"/>
    <x v="2"/>
    <x v="0"/>
    <x v="3"/>
    <x v="1"/>
    <x v="12"/>
    <x v="2"/>
  </r>
  <r>
    <x v="2307"/>
    <x v="3"/>
    <x v="1"/>
    <n v="34.200000000000003"/>
    <n v="68.400000000000006"/>
    <x v="84"/>
    <d v="2025-04-05T00:00:00"/>
    <x v="0"/>
    <x v="1"/>
    <x v="0"/>
    <x v="0"/>
    <x v="3"/>
    <x v="14"/>
    <x v="12"/>
    <x v="0"/>
  </r>
  <r>
    <x v="2308"/>
    <x v="5"/>
    <x v="1"/>
    <n v="107.9"/>
    <n v="215.8"/>
    <x v="84"/>
    <d v="2025-03-26T00:00:00"/>
    <x v="1"/>
    <x v="1"/>
    <x v="4"/>
    <x v="0"/>
    <x v="3"/>
    <x v="7"/>
    <x v="12"/>
    <x v="1"/>
  </r>
  <r>
    <x v="2309"/>
    <x v="0"/>
    <x v="2"/>
    <n v="17.5"/>
    <n v="52.5"/>
    <x v="84"/>
    <d v="2025-03-28T00:00:00"/>
    <x v="1"/>
    <x v="4"/>
    <x v="0"/>
    <x v="0"/>
    <x v="3"/>
    <x v="1"/>
    <x v="12"/>
    <x v="1"/>
  </r>
  <r>
    <x v="2310"/>
    <x v="13"/>
    <x v="20"/>
    <n v="44.7"/>
    <n v="670.5"/>
    <x v="84"/>
    <d v="2025-03-27T00:00:00"/>
    <x v="1"/>
    <x v="0"/>
    <x v="1"/>
    <x v="0"/>
    <x v="3"/>
    <x v="3"/>
    <x v="12"/>
    <x v="1"/>
  </r>
  <r>
    <x v="2311"/>
    <x v="12"/>
    <x v="13"/>
    <n v="92.7"/>
    <n v="556.20000000000005"/>
    <x v="84"/>
    <d v="2025-03-28T00:00:00"/>
    <x v="2"/>
    <x v="2"/>
    <x v="1"/>
    <x v="0"/>
    <x v="3"/>
    <x v="1"/>
    <x v="12"/>
    <x v="2"/>
  </r>
  <r>
    <x v="2312"/>
    <x v="7"/>
    <x v="2"/>
    <n v="48.8"/>
    <n v="146.39999999999998"/>
    <x v="84"/>
    <d v="2025-03-28T00:00:00"/>
    <x v="2"/>
    <x v="2"/>
    <x v="0"/>
    <x v="0"/>
    <x v="3"/>
    <x v="1"/>
    <x v="12"/>
    <x v="2"/>
  </r>
  <r>
    <x v="2313"/>
    <x v="4"/>
    <x v="27"/>
    <n v="21.3"/>
    <n v="340.8"/>
    <x v="84"/>
    <d v="2025-03-30T00:00:00"/>
    <x v="2"/>
    <x v="3"/>
    <x v="3"/>
    <x v="0"/>
    <x v="3"/>
    <x v="5"/>
    <x v="12"/>
    <x v="2"/>
  </r>
  <r>
    <x v="2314"/>
    <x v="16"/>
    <x v="0"/>
    <n v="52.5"/>
    <n v="52.5"/>
    <x v="84"/>
    <d v="2025-03-27T00:00:00"/>
    <x v="2"/>
    <x v="0"/>
    <x v="0"/>
    <x v="0"/>
    <x v="3"/>
    <x v="3"/>
    <x v="12"/>
    <x v="2"/>
  </r>
  <r>
    <x v="2315"/>
    <x v="1"/>
    <x v="1"/>
    <n v="92.4"/>
    <n v="184.8"/>
    <x v="84"/>
    <d v="2025-04-01T00:00:00"/>
    <x v="2"/>
    <x v="0"/>
    <x v="2"/>
    <x v="0"/>
    <x v="3"/>
    <x v="4"/>
    <x v="12"/>
    <x v="2"/>
  </r>
  <r>
    <x v="2316"/>
    <x v="4"/>
    <x v="5"/>
    <n v="58.3"/>
    <n v="641.29999999999995"/>
    <x v="84"/>
    <d v="2025-03-28T00:00:00"/>
    <x v="1"/>
    <x v="1"/>
    <x v="2"/>
    <x v="0"/>
    <x v="3"/>
    <x v="1"/>
    <x v="12"/>
    <x v="1"/>
  </r>
  <r>
    <x v="2317"/>
    <x v="6"/>
    <x v="44"/>
    <n v="152.6"/>
    <n v="3509.7999999999997"/>
    <x v="85"/>
    <d v="2025-03-29T00:00:00"/>
    <x v="0"/>
    <x v="0"/>
    <x v="0"/>
    <x v="0"/>
    <x v="3"/>
    <x v="1"/>
    <x v="12"/>
    <x v="0"/>
  </r>
  <r>
    <x v="2318"/>
    <x v="8"/>
    <x v="1"/>
    <n v="26"/>
    <n v="52"/>
    <x v="85"/>
    <d v="2025-03-27T00:00:00"/>
    <x v="0"/>
    <x v="0"/>
    <x v="1"/>
    <x v="0"/>
    <x v="3"/>
    <x v="7"/>
    <x v="12"/>
    <x v="0"/>
  </r>
  <r>
    <x v="2319"/>
    <x v="1"/>
    <x v="12"/>
    <n v="33.1"/>
    <n v="132.4"/>
    <x v="85"/>
    <d v="2025-03-27T00:00:00"/>
    <x v="1"/>
    <x v="2"/>
    <x v="4"/>
    <x v="0"/>
    <x v="5"/>
    <x v="7"/>
    <x v="12"/>
    <x v="1"/>
  </r>
  <r>
    <x v="2320"/>
    <x v="18"/>
    <x v="0"/>
    <n v="51.4"/>
    <n v="51.4"/>
    <x v="85"/>
    <d v="2025-03-29T00:00:00"/>
    <x v="2"/>
    <x v="1"/>
    <x v="1"/>
    <x v="0"/>
    <x v="5"/>
    <x v="1"/>
    <x v="12"/>
    <x v="2"/>
  </r>
  <r>
    <x v="2321"/>
    <x v="8"/>
    <x v="1"/>
    <n v="30.2"/>
    <n v="60.4"/>
    <x v="85"/>
    <d v="2025-03-28T00:00:00"/>
    <x v="2"/>
    <x v="2"/>
    <x v="2"/>
    <x v="0"/>
    <x v="6"/>
    <x v="3"/>
    <x v="12"/>
    <x v="2"/>
  </r>
  <r>
    <x v="2322"/>
    <x v="2"/>
    <x v="13"/>
    <n v="97"/>
    <n v="582"/>
    <x v="85"/>
    <d v="2025-03-31T00:00:00"/>
    <x v="2"/>
    <x v="0"/>
    <x v="2"/>
    <x v="0"/>
    <x v="7"/>
    <x v="5"/>
    <x v="12"/>
    <x v="2"/>
  </r>
  <r>
    <x v="2323"/>
    <x v="2"/>
    <x v="0"/>
    <n v="76.900000000000006"/>
    <n v="76.900000000000006"/>
    <x v="85"/>
    <d v="2025-03-28T00:00:00"/>
    <x v="1"/>
    <x v="1"/>
    <x v="2"/>
    <x v="0"/>
    <x v="8"/>
    <x v="3"/>
    <x v="12"/>
    <x v="1"/>
  </r>
  <r>
    <x v="2324"/>
    <x v="7"/>
    <x v="13"/>
    <n v="36.1"/>
    <n v="216.60000000000002"/>
    <x v="85"/>
    <d v="2025-03-31T00:00:00"/>
    <x v="2"/>
    <x v="0"/>
    <x v="0"/>
    <x v="0"/>
    <x v="8"/>
    <x v="5"/>
    <x v="12"/>
    <x v="2"/>
  </r>
  <r>
    <x v="2325"/>
    <x v="1"/>
    <x v="3"/>
    <n v="34.4"/>
    <n v="240.79999999999998"/>
    <x v="85"/>
    <d v="2025-03-27T00:00:00"/>
    <x v="2"/>
    <x v="2"/>
    <x v="1"/>
    <x v="0"/>
    <x v="11"/>
    <x v="7"/>
    <x v="12"/>
    <x v="2"/>
  </r>
  <r>
    <x v="2326"/>
    <x v="1"/>
    <x v="31"/>
    <n v="53.4"/>
    <n v="1495.2"/>
    <x v="85"/>
    <d v="2025-03-29T00:00:00"/>
    <x v="2"/>
    <x v="1"/>
    <x v="0"/>
    <x v="0"/>
    <x v="18"/>
    <x v="1"/>
    <x v="12"/>
    <x v="2"/>
  </r>
  <r>
    <x v="2327"/>
    <x v="2"/>
    <x v="0"/>
    <n v="77.599999999999994"/>
    <n v="77.599999999999994"/>
    <x v="85"/>
    <d v="2025-03-28T00:00:00"/>
    <x v="2"/>
    <x v="0"/>
    <x v="1"/>
    <x v="0"/>
    <x v="19"/>
    <x v="3"/>
    <x v="12"/>
    <x v="2"/>
  </r>
  <r>
    <x v="2328"/>
    <x v="1"/>
    <x v="2"/>
    <n v="71.7"/>
    <n v="215.10000000000002"/>
    <x v="85"/>
    <d v="2025-03-30T00:00:00"/>
    <x v="2"/>
    <x v="1"/>
    <x v="0"/>
    <x v="0"/>
    <x v="19"/>
    <x v="2"/>
    <x v="12"/>
    <x v="2"/>
  </r>
  <r>
    <x v="2329"/>
    <x v="3"/>
    <x v="2"/>
    <n v="80.599999999999994"/>
    <n v="241.79999999999998"/>
    <x v="85"/>
    <d v="2025-03-28T00:00:00"/>
    <x v="1"/>
    <x v="4"/>
    <x v="1"/>
    <x v="0"/>
    <x v="19"/>
    <x v="3"/>
    <x v="12"/>
    <x v="1"/>
  </r>
  <r>
    <x v="2330"/>
    <x v="1"/>
    <x v="20"/>
    <n v="70"/>
    <n v="1050"/>
    <x v="85"/>
    <d v="2025-03-29T00:00:00"/>
    <x v="1"/>
    <x v="0"/>
    <x v="0"/>
    <x v="0"/>
    <x v="20"/>
    <x v="1"/>
    <x v="12"/>
    <x v="1"/>
  </r>
  <r>
    <x v="2331"/>
    <x v="4"/>
    <x v="13"/>
    <n v="27.3"/>
    <n v="163.80000000000001"/>
    <x v="85"/>
    <d v="2025-03-29T00:00:00"/>
    <x v="2"/>
    <x v="1"/>
    <x v="1"/>
    <x v="0"/>
    <x v="2"/>
    <x v="1"/>
    <x v="12"/>
    <x v="2"/>
  </r>
  <r>
    <x v="2332"/>
    <x v="8"/>
    <x v="21"/>
    <n v="37.6"/>
    <n v="526.4"/>
    <x v="85"/>
    <d v="2025-03-29T00:00:00"/>
    <x v="1"/>
    <x v="1"/>
    <x v="0"/>
    <x v="0"/>
    <x v="3"/>
    <x v="1"/>
    <x v="12"/>
    <x v="1"/>
  </r>
  <r>
    <x v="2333"/>
    <x v="5"/>
    <x v="2"/>
    <n v="36.6"/>
    <n v="109.80000000000001"/>
    <x v="85"/>
    <d v="2025-03-29T00:00:00"/>
    <x v="2"/>
    <x v="4"/>
    <x v="0"/>
    <x v="0"/>
    <x v="3"/>
    <x v="1"/>
    <x v="12"/>
    <x v="2"/>
  </r>
  <r>
    <x v="2334"/>
    <x v="13"/>
    <x v="0"/>
    <n v="55.2"/>
    <n v="55.2"/>
    <x v="85"/>
    <d v="2025-03-29T00:00:00"/>
    <x v="1"/>
    <x v="3"/>
    <x v="0"/>
    <x v="0"/>
    <x v="3"/>
    <x v="1"/>
    <x v="12"/>
    <x v="1"/>
  </r>
  <r>
    <x v="2335"/>
    <x v="6"/>
    <x v="9"/>
    <n v="59.9"/>
    <n v="299.5"/>
    <x v="85"/>
    <d v="2025-03-29T00:00:00"/>
    <x v="1"/>
    <x v="0"/>
    <x v="0"/>
    <x v="0"/>
    <x v="3"/>
    <x v="1"/>
    <x v="12"/>
    <x v="1"/>
  </r>
  <r>
    <x v="2336"/>
    <x v="6"/>
    <x v="0"/>
    <n v="44"/>
    <n v="44"/>
    <x v="85"/>
    <d v="2025-03-28T00:00:00"/>
    <x v="2"/>
    <x v="2"/>
    <x v="2"/>
    <x v="0"/>
    <x v="3"/>
    <x v="3"/>
    <x v="12"/>
    <x v="2"/>
  </r>
  <r>
    <x v="2337"/>
    <x v="9"/>
    <x v="1"/>
    <n v="68.7"/>
    <n v="137.4"/>
    <x v="85"/>
    <d v="2025-03-27T00:00:00"/>
    <x v="1"/>
    <x v="0"/>
    <x v="0"/>
    <x v="0"/>
    <x v="3"/>
    <x v="7"/>
    <x v="12"/>
    <x v="1"/>
  </r>
  <r>
    <x v="2338"/>
    <x v="5"/>
    <x v="1"/>
    <n v="61.6"/>
    <n v="123.2"/>
    <x v="85"/>
    <d v="2025-03-31T00:00:00"/>
    <x v="1"/>
    <x v="3"/>
    <x v="1"/>
    <x v="0"/>
    <x v="3"/>
    <x v="5"/>
    <x v="12"/>
    <x v="1"/>
  </r>
  <r>
    <x v="2339"/>
    <x v="7"/>
    <x v="3"/>
    <n v="51.8"/>
    <n v="362.59999999999997"/>
    <x v="85"/>
    <d v="2025-03-28T00:00:00"/>
    <x v="1"/>
    <x v="0"/>
    <x v="0"/>
    <x v="0"/>
    <x v="3"/>
    <x v="3"/>
    <x v="12"/>
    <x v="1"/>
  </r>
  <r>
    <x v="2340"/>
    <x v="8"/>
    <x v="7"/>
    <n v="46.2"/>
    <n v="462"/>
    <x v="85"/>
    <d v="2025-03-29T00:00:00"/>
    <x v="1"/>
    <x v="1"/>
    <x v="2"/>
    <x v="0"/>
    <x v="3"/>
    <x v="1"/>
    <x v="12"/>
    <x v="1"/>
  </r>
  <r>
    <x v="2341"/>
    <x v="0"/>
    <x v="1"/>
    <n v="19.399999999999999"/>
    <n v="38.799999999999997"/>
    <x v="85"/>
    <d v="2025-03-29T00:00:00"/>
    <x v="2"/>
    <x v="1"/>
    <x v="2"/>
    <x v="0"/>
    <x v="6"/>
    <x v="1"/>
    <x v="12"/>
    <x v="2"/>
  </r>
  <r>
    <x v="2342"/>
    <x v="11"/>
    <x v="2"/>
    <n v="52.1"/>
    <n v="156.30000000000001"/>
    <x v="85"/>
    <d v="2025-03-30T00:00:00"/>
    <x v="1"/>
    <x v="3"/>
    <x v="3"/>
    <x v="0"/>
    <x v="6"/>
    <x v="2"/>
    <x v="12"/>
    <x v="1"/>
  </r>
  <r>
    <x v="2343"/>
    <x v="6"/>
    <x v="0"/>
    <n v="74.900000000000006"/>
    <n v="74.900000000000006"/>
    <x v="85"/>
    <d v="2025-03-29T00:00:00"/>
    <x v="3"/>
    <x v="0"/>
    <x v="0"/>
    <x v="0"/>
    <x v="7"/>
    <x v="1"/>
    <x v="12"/>
    <x v="3"/>
  </r>
  <r>
    <x v="2344"/>
    <x v="9"/>
    <x v="3"/>
    <n v="49.6"/>
    <n v="347.2"/>
    <x v="85"/>
    <d v="2025-03-30T00:00:00"/>
    <x v="2"/>
    <x v="4"/>
    <x v="0"/>
    <x v="0"/>
    <x v="8"/>
    <x v="2"/>
    <x v="12"/>
    <x v="2"/>
  </r>
  <r>
    <x v="2345"/>
    <x v="16"/>
    <x v="12"/>
    <n v="82.8"/>
    <n v="331.2"/>
    <x v="86"/>
    <d v="2025-03-31T00:00:00"/>
    <x v="2"/>
    <x v="4"/>
    <x v="0"/>
    <x v="0"/>
    <x v="8"/>
    <x v="2"/>
    <x v="12"/>
    <x v="2"/>
  </r>
  <r>
    <x v="2346"/>
    <x v="2"/>
    <x v="0"/>
    <n v="97.7"/>
    <n v="97.7"/>
    <x v="86"/>
    <d v="2025-03-29T00:00:00"/>
    <x v="2"/>
    <x v="1"/>
    <x v="0"/>
    <x v="0"/>
    <x v="8"/>
    <x v="3"/>
    <x v="12"/>
    <x v="2"/>
  </r>
  <r>
    <x v="2347"/>
    <x v="6"/>
    <x v="9"/>
    <n v="83.6"/>
    <n v="418"/>
    <x v="86"/>
    <d v="2025-03-29T00:00:00"/>
    <x v="2"/>
    <x v="4"/>
    <x v="0"/>
    <x v="0"/>
    <x v="8"/>
    <x v="3"/>
    <x v="12"/>
    <x v="2"/>
  </r>
  <r>
    <x v="2348"/>
    <x v="8"/>
    <x v="9"/>
    <n v="23.5"/>
    <n v="117.5"/>
    <x v="86"/>
    <d v="2025-04-01T00:00:00"/>
    <x v="3"/>
    <x v="0"/>
    <x v="0"/>
    <x v="0"/>
    <x v="8"/>
    <x v="5"/>
    <x v="12"/>
    <x v="3"/>
  </r>
  <r>
    <x v="2349"/>
    <x v="9"/>
    <x v="2"/>
    <n v="44.6"/>
    <n v="133.80000000000001"/>
    <x v="86"/>
    <d v="2025-03-31T00:00:00"/>
    <x v="2"/>
    <x v="4"/>
    <x v="1"/>
    <x v="0"/>
    <x v="26"/>
    <x v="2"/>
    <x v="12"/>
    <x v="2"/>
  </r>
  <r>
    <x v="2350"/>
    <x v="0"/>
    <x v="2"/>
    <n v="20.100000000000001"/>
    <n v="60.300000000000004"/>
    <x v="86"/>
    <d v="2025-03-30T00:00:00"/>
    <x v="2"/>
    <x v="3"/>
    <x v="4"/>
    <x v="0"/>
    <x v="11"/>
    <x v="1"/>
    <x v="12"/>
    <x v="2"/>
  </r>
  <r>
    <x v="2351"/>
    <x v="2"/>
    <x v="9"/>
    <n v="153.6"/>
    <n v="768"/>
    <x v="86"/>
    <d v="2025-03-29T00:00:00"/>
    <x v="2"/>
    <x v="1"/>
    <x v="2"/>
    <x v="0"/>
    <x v="53"/>
    <x v="3"/>
    <x v="12"/>
    <x v="2"/>
  </r>
  <r>
    <x v="2352"/>
    <x v="1"/>
    <x v="1"/>
    <n v="71.8"/>
    <n v="143.6"/>
    <x v="86"/>
    <d v="2025-04-01T00:00:00"/>
    <x v="2"/>
    <x v="1"/>
    <x v="0"/>
    <x v="0"/>
    <x v="1"/>
    <x v="5"/>
    <x v="12"/>
    <x v="2"/>
  </r>
  <r>
    <x v="2353"/>
    <x v="10"/>
    <x v="0"/>
    <n v="64.7"/>
    <n v="64.7"/>
    <x v="86"/>
    <d v="2025-03-30T00:00:00"/>
    <x v="0"/>
    <x v="0"/>
    <x v="1"/>
    <x v="0"/>
    <x v="1"/>
    <x v="1"/>
    <x v="12"/>
    <x v="0"/>
  </r>
  <r>
    <x v="2354"/>
    <x v="9"/>
    <x v="8"/>
    <n v="60.4"/>
    <n v="483.2"/>
    <x v="86"/>
    <d v="2025-03-30T00:00:00"/>
    <x v="2"/>
    <x v="3"/>
    <x v="2"/>
    <x v="0"/>
    <x v="2"/>
    <x v="1"/>
    <x v="12"/>
    <x v="2"/>
  </r>
  <r>
    <x v="2355"/>
    <x v="6"/>
    <x v="12"/>
    <n v="86"/>
    <n v="344"/>
    <x v="86"/>
    <d v="2025-03-31T00:00:00"/>
    <x v="2"/>
    <x v="2"/>
    <x v="2"/>
    <x v="0"/>
    <x v="22"/>
    <x v="2"/>
    <x v="12"/>
    <x v="2"/>
  </r>
  <r>
    <x v="2356"/>
    <x v="12"/>
    <x v="1"/>
    <n v="42.1"/>
    <n v="84.2"/>
    <x v="86"/>
    <d v="2025-03-29T00:00:00"/>
    <x v="2"/>
    <x v="4"/>
    <x v="1"/>
    <x v="0"/>
    <x v="34"/>
    <x v="3"/>
    <x v="12"/>
    <x v="2"/>
  </r>
  <r>
    <x v="2357"/>
    <x v="16"/>
    <x v="11"/>
    <n v="51.1"/>
    <n v="459.90000000000003"/>
    <x v="86"/>
    <d v="2025-03-29T00:00:00"/>
    <x v="1"/>
    <x v="2"/>
    <x v="1"/>
    <x v="0"/>
    <x v="3"/>
    <x v="3"/>
    <x v="12"/>
    <x v="1"/>
  </r>
  <r>
    <x v="2358"/>
    <x v="9"/>
    <x v="12"/>
    <n v="73.8"/>
    <n v="295.2"/>
    <x v="86"/>
    <d v="2025-03-29T00:00:00"/>
    <x v="1"/>
    <x v="4"/>
    <x v="0"/>
    <x v="0"/>
    <x v="3"/>
    <x v="3"/>
    <x v="12"/>
    <x v="1"/>
  </r>
  <r>
    <x v="2359"/>
    <x v="8"/>
    <x v="9"/>
    <n v="27"/>
    <n v="135"/>
    <x v="86"/>
    <d v="2025-03-31T00:00:00"/>
    <x v="2"/>
    <x v="2"/>
    <x v="2"/>
    <x v="0"/>
    <x v="3"/>
    <x v="2"/>
    <x v="12"/>
    <x v="2"/>
  </r>
  <r>
    <x v="2360"/>
    <x v="8"/>
    <x v="13"/>
    <n v="60.1"/>
    <n v="360.6"/>
    <x v="86"/>
    <d v="2025-03-29T00:00:00"/>
    <x v="1"/>
    <x v="3"/>
    <x v="0"/>
    <x v="0"/>
    <x v="3"/>
    <x v="3"/>
    <x v="12"/>
    <x v="1"/>
  </r>
  <r>
    <x v="2361"/>
    <x v="2"/>
    <x v="3"/>
    <n v="94.1"/>
    <n v="658.69999999999993"/>
    <x v="86"/>
    <d v="2025-03-30T00:00:00"/>
    <x v="2"/>
    <x v="4"/>
    <x v="1"/>
    <x v="0"/>
    <x v="3"/>
    <x v="1"/>
    <x v="12"/>
    <x v="2"/>
  </r>
  <r>
    <x v="2362"/>
    <x v="2"/>
    <x v="1"/>
    <n v="124.1"/>
    <n v="248.2"/>
    <x v="86"/>
    <d v="2025-03-28T00:00:00"/>
    <x v="2"/>
    <x v="2"/>
    <x v="3"/>
    <x v="0"/>
    <x v="43"/>
    <x v="7"/>
    <x v="12"/>
    <x v="2"/>
  </r>
  <r>
    <x v="2363"/>
    <x v="8"/>
    <x v="12"/>
    <n v="16.899999999999999"/>
    <n v="67.599999999999994"/>
    <x v="86"/>
    <d v="2025-03-31T00:00:00"/>
    <x v="1"/>
    <x v="3"/>
    <x v="0"/>
    <x v="0"/>
    <x v="6"/>
    <x v="2"/>
    <x v="12"/>
    <x v="1"/>
  </r>
  <r>
    <x v="2364"/>
    <x v="1"/>
    <x v="0"/>
    <n v="36.9"/>
    <n v="36.9"/>
    <x v="86"/>
    <d v="2025-03-29T00:00:00"/>
    <x v="1"/>
    <x v="0"/>
    <x v="0"/>
    <x v="0"/>
    <x v="6"/>
    <x v="3"/>
    <x v="12"/>
    <x v="1"/>
  </r>
  <r>
    <x v="2365"/>
    <x v="9"/>
    <x v="1"/>
    <n v="22.6"/>
    <n v="45.2"/>
    <x v="86"/>
    <d v="2025-04-10T00:00:00"/>
    <x v="2"/>
    <x v="2"/>
    <x v="1"/>
    <x v="0"/>
    <x v="8"/>
    <x v="10"/>
    <x v="12"/>
    <x v="2"/>
  </r>
  <r>
    <x v="2366"/>
    <x v="7"/>
    <x v="12"/>
    <n v="35"/>
    <n v="140"/>
    <x v="86"/>
    <d v="2025-04-02T00:00:00"/>
    <x v="1"/>
    <x v="3"/>
    <x v="1"/>
    <x v="0"/>
    <x v="8"/>
    <x v="0"/>
    <x v="12"/>
    <x v="1"/>
  </r>
  <r>
    <x v="2367"/>
    <x v="9"/>
    <x v="13"/>
    <n v="63.6"/>
    <n v="381.6"/>
    <x v="86"/>
    <d v="2025-04-04T00:00:00"/>
    <x v="0"/>
    <x v="1"/>
    <x v="2"/>
    <x v="0"/>
    <x v="8"/>
    <x v="6"/>
    <x v="12"/>
    <x v="0"/>
  </r>
  <r>
    <x v="2368"/>
    <x v="15"/>
    <x v="12"/>
    <n v="78.599999999999994"/>
    <n v="314.39999999999998"/>
    <x v="86"/>
    <d v="2025-03-29T00:00:00"/>
    <x v="1"/>
    <x v="4"/>
    <x v="1"/>
    <x v="0"/>
    <x v="8"/>
    <x v="3"/>
    <x v="12"/>
    <x v="1"/>
  </r>
  <r>
    <x v="2369"/>
    <x v="3"/>
    <x v="1"/>
    <n v="38.5"/>
    <n v="77"/>
    <x v="86"/>
    <d v="2025-03-29T00:00:00"/>
    <x v="1"/>
    <x v="0"/>
    <x v="2"/>
    <x v="0"/>
    <x v="8"/>
    <x v="3"/>
    <x v="12"/>
    <x v="1"/>
  </r>
  <r>
    <x v="2370"/>
    <x v="8"/>
    <x v="5"/>
    <n v="71.5"/>
    <n v="786.5"/>
    <x v="86"/>
    <d v="2025-03-29T00:00:00"/>
    <x v="2"/>
    <x v="1"/>
    <x v="4"/>
    <x v="0"/>
    <x v="8"/>
    <x v="3"/>
    <x v="12"/>
    <x v="2"/>
  </r>
  <r>
    <x v="2371"/>
    <x v="6"/>
    <x v="12"/>
    <n v="121.4"/>
    <n v="485.6"/>
    <x v="86"/>
    <d v="2025-04-01T00:00:00"/>
    <x v="1"/>
    <x v="1"/>
    <x v="2"/>
    <x v="0"/>
    <x v="17"/>
    <x v="5"/>
    <x v="12"/>
    <x v="1"/>
  </r>
  <r>
    <x v="2372"/>
    <x v="11"/>
    <x v="0"/>
    <n v="40.200000000000003"/>
    <n v="40.200000000000003"/>
    <x v="86"/>
    <d v="2025-03-31T00:00:00"/>
    <x v="2"/>
    <x v="0"/>
    <x v="2"/>
    <x v="0"/>
    <x v="11"/>
    <x v="2"/>
    <x v="12"/>
    <x v="2"/>
  </r>
  <r>
    <x v="2373"/>
    <x v="5"/>
    <x v="9"/>
    <n v="31.9"/>
    <n v="159.5"/>
    <x v="86"/>
    <d v="2025-03-30T00:00:00"/>
    <x v="2"/>
    <x v="2"/>
    <x v="2"/>
    <x v="0"/>
    <x v="28"/>
    <x v="1"/>
    <x v="12"/>
    <x v="2"/>
  </r>
  <r>
    <x v="2374"/>
    <x v="14"/>
    <x v="9"/>
    <n v="15.8"/>
    <n v="79"/>
    <x v="87"/>
    <d v="2025-03-30T00:00:00"/>
    <x v="1"/>
    <x v="3"/>
    <x v="2"/>
    <x v="0"/>
    <x v="21"/>
    <x v="3"/>
    <x v="12"/>
    <x v="1"/>
  </r>
  <r>
    <x v="2375"/>
    <x v="10"/>
    <x v="1"/>
    <n v="25.1"/>
    <n v="50.2"/>
    <x v="87"/>
    <d v="2025-03-31T00:00:00"/>
    <x v="0"/>
    <x v="1"/>
    <x v="0"/>
    <x v="0"/>
    <x v="21"/>
    <x v="1"/>
    <x v="12"/>
    <x v="0"/>
  </r>
  <r>
    <x v="2376"/>
    <x v="1"/>
    <x v="44"/>
    <n v="38.1"/>
    <n v="876.30000000000007"/>
    <x v="87"/>
    <d v="2025-03-30T00:00:00"/>
    <x v="2"/>
    <x v="4"/>
    <x v="0"/>
    <x v="0"/>
    <x v="1"/>
    <x v="3"/>
    <x v="12"/>
    <x v="2"/>
  </r>
  <r>
    <x v="2377"/>
    <x v="3"/>
    <x v="1"/>
    <n v="42.2"/>
    <n v="84.4"/>
    <x v="87"/>
    <d v="2025-03-31T00:00:00"/>
    <x v="2"/>
    <x v="0"/>
    <x v="2"/>
    <x v="0"/>
    <x v="1"/>
    <x v="1"/>
    <x v="12"/>
    <x v="2"/>
  </r>
  <r>
    <x v="2378"/>
    <x v="0"/>
    <x v="7"/>
    <n v="12.3"/>
    <n v="123"/>
    <x v="87"/>
    <d v="2025-03-30T00:00:00"/>
    <x v="2"/>
    <x v="4"/>
    <x v="0"/>
    <x v="0"/>
    <x v="2"/>
    <x v="3"/>
    <x v="12"/>
    <x v="2"/>
  </r>
  <r>
    <x v="2379"/>
    <x v="7"/>
    <x v="0"/>
    <n v="30.2"/>
    <n v="30.2"/>
    <x v="87"/>
    <d v="2025-03-31T00:00:00"/>
    <x v="2"/>
    <x v="1"/>
    <x v="2"/>
    <x v="0"/>
    <x v="34"/>
    <x v="1"/>
    <x v="12"/>
    <x v="2"/>
  </r>
  <r>
    <x v="2380"/>
    <x v="5"/>
    <x v="2"/>
    <n v="25.3"/>
    <n v="75.900000000000006"/>
    <x v="87"/>
    <d v="2025-04-01T00:00:00"/>
    <x v="2"/>
    <x v="2"/>
    <x v="0"/>
    <x v="0"/>
    <x v="3"/>
    <x v="2"/>
    <x v="12"/>
    <x v="2"/>
  </r>
  <r>
    <x v="2381"/>
    <x v="8"/>
    <x v="9"/>
    <n v="29.7"/>
    <n v="148.5"/>
    <x v="87"/>
    <d v="2025-03-31T00:00:00"/>
    <x v="1"/>
    <x v="3"/>
    <x v="0"/>
    <x v="0"/>
    <x v="3"/>
    <x v="1"/>
    <x v="12"/>
    <x v="1"/>
  </r>
  <r>
    <x v="2382"/>
    <x v="9"/>
    <x v="8"/>
    <n v="32.9"/>
    <n v="263.2"/>
    <x v="87"/>
    <d v="2025-03-30T00:00:00"/>
    <x v="0"/>
    <x v="3"/>
    <x v="2"/>
    <x v="0"/>
    <x v="3"/>
    <x v="3"/>
    <x v="12"/>
    <x v="0"/>
  </r>
  <r>
    <x v="2383"/>
    <x v="10"/>
    <x v="1"/>
    <n v="43.6"/>
    <n v="87.2"/>
    <x v="87"/>
    <d v="2025-03-30T00:00:00"/>
    <x v="1"/>
    <x v="1"/>
    <x v="2"/>
    <x v="0"/>
    <x v="3"/>
    <x v="3"/>
    <x v="12"/>
    <x v="1"/>
  </r>
  <r>
    <x v="2384"/>
    <x v="15"/>
    <x v="12"/>
    <n v="78.400000000000006"/>
    <n v="313.60000000000002"/>
    <x v="87"/>
    <d v="2025-03-30T00:00:00"/>
    <x v="1"/>
    <x v="2"/>
    <x v="0"/>
    <x v="0"/>
    <x v="3"/>
    <x v="3"/>
    <x v="12"/>
    <x v="1"/>
  </r>
  <r>
    <x v="2385"/>
    <x v="6"/>
    <x v="1"/>
    <n v="56.5"/>
    <n v="113"/>
    <x v="87"/>
    <d v="2025-04-02T00:00:00"/>
    <x v="1"/>
    <x v="1"/>
    <x v="1"/>
    <x v="0"/>
    <x v="3"/>
    <x v="5"/>
    <x v="12"/>
    <x v="1"/>
  </r>
  <r>
    <x v="2386"/>
    <x v="16"/>
    <x v="0"/>
    <n v="36.700000000000003"/>
    <n v="36.700000000000003"/>
    <x v="87"/>
    <d v="2025-03-30T00:00:00"/>
    <x v="2"/>
    <x v="0"/>
    <x v="2"/>
    <x v="0"/>
    <x v="3"/>
    <x v="3"/>
    <x v="12"/>
    <x v="2"/>
  </r>
  <r>
    <x v="2387"/>
    <x v="2"/>
    <x v="12"/>
    <n v="103.6"/>
    <n v="414.4"/>
    <x v="87"/>
    <d v="2025-04-09T00:00:00"/>
    <x v="1"/>
    <x v="4"/>
    <x v="2"/>
    <x v="0"/>
    <x v="3"/>
    <x v="11"/>
    <x v="12"/>
    <x v="1"/>
  </r>
  <r>
    <x v="2388"/>
    <x v="8"/>
    <x v="13"/>
    <n v="16.2"/>
    <n v="97.199999999999989"/>
    <x v="87"/>
    <d v="2025-04-02T00:00:00"/>
    <x v="1"/>
    <x v="1"/>
    <x v="2"/>
    <x v="0"/>
    <x v="6"/>
    <x v="5"/>
    <x v="12"/>
    <x v="1"/>
  </r>
  <r>
    <x v="2389"/>
    <x v="8"/>
    <x v="1"/>
    <n v="20.2"/>
    <n v="40.4"/>
    <x v="87"/>
    <d v="2025-03-30T00:00:00"/>
    <x v="2"/>
    <x v="0"/>
    <x v="0"/>
    <x v="0"/>
    <x v="6"/>
    <x v="3"/>
    <x v="12"/>
    <x v="2"/>
  </r>
  <r>
    <x v="2390"/>
    <x v="11"/>
    <x v="1"/>
    <n v="26.9"/>
    <n v="53.8"/>
    <x v="87"/>
    <d v="2025-03-31T00:00:00"/>
    <x v="2"/>
    <x v="2"/>
    <x v="0"/>
    <x v="0"/>
    <x v="6"/>
    <x v="1"/>
    <x v="12"/>
    <x v="2"/>
  </r>
  <r>
    <x v="2391"/>
    <x v="1"/>
    <x v="1"/>
    <n v="82.4"/>
    <n v="164.8"/>
    <x v="87"/>
    <d v="2025-04-01T00:00:00"/>
    <x v="0"/>
    <x v="0"/>
    <x v="0"/>
    <x v="0"/>
    <x v="7"/>
    <x v="2"/>
    <x v="12"/>
    <x v="0"/>
  </r>
  <r>
    <x v="2392"/>
    <x v="2"/>
    <x v="1"/>
    <n v="117.8"/>
    <n v="235.6"/>
    <x v="87"/>
    <d v="2025-03-31T00:00:00"/>
    <x v="1"/>
    <x v="1"/>
    <x v="2"/>
    <x v="0"/>
    <x v="8"/>
    <x v="1"/>
    <x v="12"/>
    <x v="1"/>
  </r>
  <r>
    <x v="2393"/>
    <x v="11"/>
    <x v="12"/>
    <n v="36.700000000000003"/>
    <n v="146.80000000000001"/>
    <x v="87"/>
    <d v="2025-03-30T00:00:00"/>
    <x v="1"/>
    <x v="1"/>
    <x v="0"/>
    <x v="0"/>
    <x v="8"/>
    <x v="3"/>
    <x v="12"/>
    <x v="1"/>
  </r>
  <r>
    <x v="2394"/>
    <x v="17"/>
    <x v="2"/>
    <n v="46.8"/>
    <n v="140.39999999999998"/>
    <x v="87"/>
    <d v="2025-03-30T00:00:00"/>
    <x v="1"/>
    <x v="4"/>
    <x v="2"/>
    <x v="0"/>
    <x v="10"/>
    <x v="3"/>
    <x v="12"/>
    <x v="1"/>
  </r>
  <r>
    <x v="2395"/>
    <x v="3"/>
    <x v="0"/>
    <n v="61.4"/>
    <n v="61.4"/>
    <x v="87"/>
    <d v="2025-03-30T00:00:00"/>
    <x v="1"/>
    <x v="1"/>
    <x v="0"/>
    <x v="0"/>
    <x v="10"/>
    <x v="3"/>
    <x v="12"/>
    <x v="1"/>
  </r>
  <r>
    <x v="2396"/>
    <x v="15"/>
    <x v="1"/>
    <n v="22.9"/>
    <n v="45.8"/>
    <x v="87"/>
    <d v="2025-03-30T00:00:00"/>
    <x v="1"/>
    <x v="0"/>
    <x v="0"/>
    <x v="0"/>
    <x v="11"/>
    <x v="3"/>
    <x v="12"/>
    <x v="1"/>
  </r>
  <r>
    <x v="2397"/>
    <x v="10"/>
    <x v="1"/>
    <n v="22.1"/>
    <n v="44.2"/>
    <x v="87"/>
    <d v="2025-03-30T00:00:00"/>
    <x v="2"/>
    <x v="4"/>
    <x v="0"/>
    <x v="0"/>
    <x v="11"/>
    <x v="3"/>
    <x v="12"/>
    <x v="2"/>
  </r>
  <r>
    <x v="2398"/>
    <x v="12"/>
    <x v="1"/>
    <n v="31"/>
    <n v="62"/>
    <x v="87"/>
    <d v="2025-03-31T00:00:00"/>
    <x v="2"/>
    <x v="2"/>
    <x v="0"/>
    <x v="0"/>
    <x v="18"/>
    <x v="1"/>
    <x v="12"/>
    <x v="2"/>
  </r>
  <r>
    <x v="2399"/>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49F5AC-DA47-4616-85ED-BBF7678782AC}" name="PivotTable21" cacheId="3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3:C90" firstHeaderRow="1" firstDataRow="1" firstDataCol="0"/>
  <pivotFields count="17">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items count="15">
        <item x="0"/>
        <item x="1"/>
        <item x="2"/>
        <item x="3"/>
        <item x="4"/>
        <item x="5"/>
        <item x="6"/>
        <item x="7"/>
        <item x="8"/>
        <item x="9"/>
        <item x="10"/>
        <item x="11"/>
        <item x="12"/>
        <item x="1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CAD970-71A4-488E-AF74-9C098AFFB4F4}" name="column chart 2" cacheId="3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54:B70" firstHeaderRow="1" firstDataRow="1"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FAA57E-ED3E-4518-A2B4-E74AC9E97406}" name="map chart" cacheId="38" applyNumberFormats="0" applyBorderFormats="0" applyFontFormats="0" applyPatternFormats="0" applyAlignmentFormats="0" applyWidthHeightFormats="1" dataCaption="Values" updatedVersion="7" minRefreshableVersion="3" useAutoFormatting="1" rowGrandTotals="0" itemPrintTitles="1" createdVersion="7" indent="0" compact="0" compactData="0" multipleFieldFilters="0">
  <location ref="I38:L96" firstHeaderRow="0" firstDataRow="1" firstDataCol="2"/>
  <pivotFields count="17">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numFmtId="15"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numFmtId="15"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5">
        <item x="0"/>
        <item x="3"/>
        <item x="4"/>
        <item x="2"/>
        <item x="1"/>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1">
        <item x="0"/>
      </items>
      <extLst>
        <ext xmlns:x14="http://schemas.microsoft.com/office/spreadsheetml/2009/9/main" uri="{2946ED86-A175-432a-8AC1-64E0C546D7DE}">
          <x14:pivotField fillDownLabels="1"/>
        </ext>
      </extLst>
    </pivotField>
    <pivotField axis="axisRow" compact="0" outline="0" subtotalTop="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4">
        <item x="2"/>
        <item x="1"/>
        <item x="3"/>
        <item x="0"/>
      </items>
      <extLst>
        <ext xmlns:x14="http://schemas.microsoft.com/office/spreadsheetml/2009/9/main" uri="{2946ED86-A175-432a-8AC1-64E0C546D7DE}">
          <x14:pivotField fillDownLabels="1"/>
        </ext>
      </extLst>
    </pivotField>
    <pivotField compact="0" outline="0" subtotalTop="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numFmtId="171"/>
  </dataFields>
  <formats count="1">
    <format dxfId="5">
      <pivotArea outline="0"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17BBE3-83FE-44EE-8A8D-B1FA16F13BBE}" name="PivotTable14" cacheId="3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0">
  <location ref="I28:J33" firstHeaderRow="1" firstDataRow="1" firstDataCol="1"/>
  <pivotFields count="17">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8">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3" format="8" series="1">
      <pivotArea type="data" outline="0" fieldPosition="0">
        <references count="2">
          <reference field="4294967294" count="1" selected="0">
            <x v="0"/>
          </reference>
          <reference field="14" count="1" selected="0">
            <x v="0"/>
          </reference>
        </references>
      </pivotArea>
    </chartFormat>
    <chartFormat chart="3" format="9" series="1">
      <pivotArea type="data" outline="0" fieldPosition="0">
        <references count="2">
          <reference field="4294967294" count="1" selected="0">
            <x v="0"/>
          </reference>
          <reference field="14" count="1" selected="0">
            <x v="1"/>
          </reference>
        </references>
      </pivotArea>
    </chartFormat>
    <chartFormat chart="3" format="10" series="1">
      <pivotArea type="data" outline="0" fieldPosition="0">
        <references count="2">
          <reference field="4294967294" count="1" selected="0">
            <x v="0"/>
          </reference>
          <reference field="14" count="1" selected="0">
            <x v="2"/>
          </reference>
        </references>
      </pivotArea>
    </chartFormat>
    <chartFormat chart="3" format="11" series="1">
      <pivotArea type="data" outline="0" fieldPosition="0">
        <references count="2">
          <reference field="4294967294" count="1" selected="0">
            <x v="0"/>
          </reference>
          <reference field="14" count="1" selected="0">
            <x v="3"/>
          </reference>
        </references>
      </pivotArea>
    </chartFormat>
    <chartFormat chart="13" format="11" series="1">
      <pivotArea type="data" outline="0" fieldPosition="0">
        <references count="1">
          <reference field="4294967294" count="1" selected="0">
            <x v="0"/>
          </reference>
        </references>
      </pivotArea>
    </chartFormat>
    <chartFormat chart="13" format="12">
      <pivotArea type="data" outline="0" fieldPosition="0">
        <references count="2">
          <reference field="4294967294" count="1" selected="0">
            <x v="0"/>
          </reference>
          <reference field="14" count="1" selected="0">
            <x v="0"/>
          </reference>
        </references>
      </pivotArea>
    </chartFormat>
    <chartFormat chart="13" format="13">
      <pivotArea type="data" outline="0" fieldPosition="0">
        <references count="2">
          <reference field="4294967294" count="1" selected="0">
            <x v="0"/>
          </reference>
          <reference field="14" count="1" selected="0">
            <x v="1"/>
          </reference>
        </references>
      </pivotArea>
    </chartFormat>
    <chartFormat chart="13" format="14">
      <pivotArea type="data" outline="0" fieldPosition="0">
        <references count="2">
          <reference field="4294967294" count="1" selected="0">
            <x v="0"/>
          </reference>
          <reference field="14" count="1" selected="0">
            <x v="2"/>
          </reference>
        </references>
      </pivotArea>
    </chartFormat>
    <chartFormat chart="13" format="15">
      <pivotArea type="data" outline="0" fieldPosition="0">
        <references count="2">
          <reference field="4294967294" count="1" selected="0">
            <x v="0"/>
          </reference>
          <reference field="14" count="1" selected="0">
            <x v="3"/>
          </reference>
        </references>
      </pivotArea>
    </chartFormat>
    <chartFormat chart="12" format="21" series="1">
      <pivotArea type="data" outline="0" fieldPosition="0">
        <references count="1">
          <reference field="4294967294" count="1" selected="0">
            <x v="0"/>
          </reference>
        </references>
      </pivotArea>
    </chartFormat>
    <chartFormat chart="12" format="22">
      <pivotArea type="data" outline="0" fieldPosition="0">
        <references count="2">
          <reference field="4294967294" count="1" selected="0">
            <x v="0"/>
          </reference>
          <reference field="14" count="1" selected="0">
            <x v="0"/>
          </reference>
        </references>
      </pivotArea>
    </chartFormat>
    <chartFormat chart="12" format="23">
      <pivotArea type="data" outline="0" fieldPosition="0">
        <references count="2">
          <reference field="4294967294" count="1" selected="0">
            <x v="0"/>
          </reference>
          <reference field="14" count="1" selected="0">
            <x v="1"/>
          </reference>
        </references>
      </pivotArea>
    </chartFormat>
    <chartFormat chart="12" format="24">
      <pivotArea type="data" outline="0" fieldPosition="0">
        <references count="2">
          <reference field="4294967294" count="1" selected="0">
            <x v="0"/>
          </reference>
          <reference field="14" count="1" selected="0">
            <x v="2"/>
          </reference>
        </references>
      </pivotArea>
    </chartFormat>
    <chartFormat chart="12" format="25">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6210D9-7A37-442A-A656-A977D98B3ADE}" name="barchart" cacheId="3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28:F50" firstHeaderRow="1" firstDataRow="2" firstDataCol="1"/>
  <pivotFields count="17">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3" format="8" series="1">
      <pivotArea type="data" outline="0" fieldPosition="0">
        <references count="2">
          <reference field="4294967294" count="1" selected="0">
            <x v="0"/>
          </reference>
          <reference field="14" count="1" selected="0">
            <x v="0"/>
          </reference>
        </references>
      </pivotArea>
    </chartFormat>
    <chartFormat chart="3" format="9" series="1">
      <pivotArea type="data" outline="0" fieldPosition="0">
        <references count="2">
          <reference field="4294967294" count="1" selected="0">
            <x v="0"/>
          </reference>
          <reference field="14" count="1" selected="0">
            <x v="1"/>
          </reference>
        </references>
      </pivotArea>
    </chartFormat>
    <chartFormat chart="3" format="10" series="1">
      <pivotArea type="data" outline="0" fieldPosition="0">
        <references count="2">
          <reference field="4294967294" count="1" selected="0">
            <x v="0"/>
          </reference>
          <reference field="14" count="1" selected="0">
            <x v="2"/>
          </reference>
        </references>
      </pivotArea>
    </chartFormat>
    <chartFormat chart="3"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9E7C43-8DE4-4D9A-83F9-BFC49D268624}" name="pivot table column chart 1" cacheId="3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E10:F18" firstHeaderRow="1" firstDataRow="1"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sd="0" x="2"/>
        <item x="3"/>
        <item x="4"/>
        <item x="5"/>
        <item x="6"/>
        <item n="6-10" x="0"/>
        <item n="More than 10" sd="0" x="1"/>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9ABF4A-3A46-41CF-A89A-A474904A6224}" name="PivotTable8" cacheId="3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A10:C24" firstHeaderRow="0" firstDataRow="1" firstDataCol="1"/>
  <pivotFields count="17">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2"/>
        <item x="3"/>
        <item x="4"/>
        <item x="5"/>
        <item x="6"/>
        <item x="0"/>
        <item x="1"/>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dataFields>
  <formats count="1">
    <format dxfId="4">
      <pivotArea dataOnly="0" outline="0" fieldPosition="0">
        <references count="1">
          <reference field="4294967294" count="1">
            <x v="1"/>
          </reference>
        </references>
      </pivotArea>
    </format>
  </formats>
  <chartFormats count="2">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D41FCF-F597-4BCD-9C8E-48416111B633}" name="pivot table line cahrt" cacheId="3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4" firstHeaderRow="0" firstDataRow="1" firstDataCol="0"/>
  <pivotFields count="17">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2"/>
        <item x="3"/>
        <item x="4"/>
        <item x="5"/>
        <item x="6"/>
        <item x="0"/>
        <item x="1"/>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21FD3F8-FCB0-4157-987C-B675D3A7807E}" name="column chart 3" cacheId="3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6:G21" firstHeaderRow="1" firstDataRow="2"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3" format="10" series="1">
      <pivotArea type="data" outline="0" fieldPosition="0">
        <references count="2">
          <reference field="4294967294" count="1" selected="0">
            <x v="0"/>
          </reference>
          <reference field="9" count="1" selected="0">
            <x v="0"/>
          </reference>
        </references>
      </pivotArea>
    </chartFormat>
    <chartFormat chart="3" format="11" series="1">
      <pivotArea type="data" outline="0" fieldPosition="0">
        <references count="2">
          <reference field="4294967294" count="1" selected="0">
            <x v="0"/>
          </reference>
          <reference field="9" count="1" selected="0">
            <x v="1"/>
          </reference>
        </references>
      </pivotArea>
    </chartFormat>
    <chartFormat chart="3" format="12" series="1">
      <pivotArea type="data" outline="0" fieldPosition="0">
        <references count="2">
          <reference field="4294967294" count="1" selected="0">
            <x v="0"/>
          </reference>
          <reference field="9" count="1" selected="0">
            <x v="2"/>
          </reference>
        </references>
      </pivotArea>
    </chartFormat>
    <chartFormat chart="3" format="13" series="1">
      <pivotArea type="data" outline="0" fieldPosition="0">
        <references count="2">
          <reference field="4294967294" count="1" selected="0">
            <x v="0"/>
          </reference>
          <reference field="9" count="1" selected="0">
            <x v="3"/>
          </reference>
        </references>
      </pivotArea>
    </chartFormat>
    <chartFormat chart="3"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8787418-B024-455A-8CA8-B71FB66FBF44}" name="gender chart" cacheId="3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F10" firstHeaderRow="1" firstDataRow="2" firstDataCol="1"/>
  <pivotFields count="17">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axis="axisRow" showAll="0">
      <items count="6">
        <item n="App"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2"/>
        <item x="3"/>
        <item x="4"/>
        <item x="5"/>
        <item x="6"/>
        <item x="0"/>
        <item x="1"/>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8" baseItem="0" numFmtId="10"/>
  </dataFields>
  <formats count="25">
    <format dxfId="6">
      <pivotArea collapsedLevelsAreSubtotals="1" fieldPosition="0">
        <references count="1">
          <reference field="8" count="0"/>
        </references>
      </pivotArea>
    </format>
    <format dxfId="7">
      <pivotArea dataOnly="0" labelOnly="1" fieldPosition="0">
        <references count="1">
          <reference field="8" count="0"/>
        </references>
      </pivotArea>
    </format>
    <format dxfId="8">
      <pivotArea dataOnly="0" fieldPosition="0">
        <references count="1">
          <reference field="8" count="1">
            <x v="4"/>
          </reference>
        </references>
      </pivotArea>
    </format>
    <format dxfId="9">
      <pivotArea dataOnly="0" fieldPosition="0">
        <references count="1">
          <reference field="8" count="1">
            <x v="4"/>
          </reference>
        </references>
      </pivotArea>
    </format>
    <format dxfId="10">
      <pivotArea field="8" dataOnly="0" grandRow="1" axis="axisRow" fieldPosition="0">
        <references count="1">
          <reference field="8" count="1">
            <x v="4"/>
          </reference>
        </references>
      </pivotArea>
    </format>
    <format dxfId="11">
      <pivotArea field="8" dataOnly="0" grandRow="1" axis="axisRow" fieldPosition="0">
        <references count="1">
          <reference field="8" count="1">
            <x v="4"/>
          </reference>
        </references>
      </pivotArea>
    </format>
    <format dxfId="12">
      <pivotArea grandRow="1" outline="0" collapsedLevelsAreSubtotals="1" fieldPosition="0"/>
    </format>
    <format dxfId="13">
      <pivotArea dataOnly="0" labelOnly="1" fieldPosition="0">
        <references count="1">
          <reference field="8" count="1">
            <x v="4"/>
          </reference>
        </references>
      </pivotArea>
    </format>
    <format dxfId="14">
      <pivotArea dataOnly="0" labelOnly="1" grandRow="1" outline="0" fieldPosition="0"/>
    </format>
    <format dxfId="15">
      <pivotArea collapsedLevelsAreSubtotals="1" fieldPosition="0">
        <references count="1">
          <reference field="8" count="1">
            <x v="4"/>
          </reference>
        </references>
      </pivotArea>
    </format>
    <format dxfId="16">
      <pivotArea grandRow="1" outline="0" collapsedLevelsAreSubtotals="1" fieldPosition="0"/>
    </format>
    <format dxfId="17">
      <pivotArea dataOnly="0" labelOnly="1" grandRow="1" outline="0" fieldPosition="0"/>
    </format>
    <format dxfId="18">
      <pivotArea dataOnly="0" labelOnly="1" fieldPosition="0">
        <references count="1">
          <reference field="8" count="1">
            <x v="4"/>
          </reference>
        </references>
      </pivotArea>
    </format>
    <format dxfId="19">
      <pivotArea dataOnly="0" fieldPosition="0">
        <references count="1">
          <reference field="8" count="1">
            <x v="3"/>
          </reference>
        </references>
      </pivotArea>
    </format>
    <format dxfId="20">
      <pivotArea dataOnly="0" labelOnly="1" fieldPosition="0">
        <references count="1">
          <reference field="8" count="1">
            <x v="2"/>
          </reference>
        </references>
      </pivotArea>
    </format>
    <format dxfId="21">
      <pivotArea dataOnly="0" labelOnly="1" fieldPosition="0">
        <references count="1">
          <reference field="8" count="1">
            <x v="1"/>
          </reference>
        </references>
      </pivotArea>
    </format>
    <format dxfId="22">
      <pivotArea dataOnly="0" labelOnly="1" fieldPosition="0">
        <references count="1">
          <reference field="8" count="1">
            <x v="0"/>
          </reference>
        </references>
      </pivotArea>
    </format>
    <format dxfId="23">
      <pivotArea field="8" type="button" dataOnly="0" labelOnly="1" outline="0" axis="axisRow" fieldPosition="0"/>
    </format>
    <format dxfId="24">
      <pivotArea type="origin" dataOnly="0" labelOnly="1" outline="0" fieldPosition="0"/>
    </format>
    <format dxfId="25">
      <pivotArea collapsedLevelsAreSubtotals="1" fieldPosition="0">
        <references count="1">
          <reference field="8" count="0"/>
        </references>
      </pivotArea>
    </format>
    <format dxfId="26">
      <pivotArea field="14" type="button" dataOnly="0" labelOnly="1" outline="0" axis="axisCol" fieldPosition="0"/>
    </format>
    <format dxfId="27">
      <pivotArea type="topRight" dataOnly="0" labelOnly="1" outline="0" fieldPosition="0"/>
    </format>
    <format dxfId="28">
      <pivotArea dataOnly="0" labelOnly="1" fieldPosition="0">
        <references count="1">
          <reference field="14" count="0"/>
        </references>
      </pivotArea>
    </format>
    <format dxfId="29">
      <pivotArea dataOnly="0" labelOnly="1" grandCol="1" outline="0" fieldPosition="0"/>
    </format>
    <format dxfId="30">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8F5A2CD7-8AD5-4470-9C55-AF24A9FA9323}" sourceName="Order Mode">
  <pivotTables>
    <pivotTable tabId="7" name="column chart 3"/>
    <pivotTable tabId="5" name="barchart"/>
    <pivotTable tabId="5" name="column chart 2"/>
    <pivotTable tabId="5" name="map chart"/>
    <pivotTable tabId="5" name="pivot table column chart 1"/>
    <pivotTable tabId="5" name="pivot table line cahrt"/>
    <pivotTable tabId="5" name="PivotTable14"/>
    <pivotTable tabId="5" name="PivotTable21"/>
    <pivotTable tabId="5" name="PivotTable8"/>
  </pivotTables>
  <data>
    <tabular pivotCacheId="1079125682">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63EE935C-9036-446D-ACD6-B44932492C9C}" sourceName="Gender Value">
  <pivotTables>
    <pivotTable tabId="7" name="column chart 3"/>
    <pivotTable tabId="5" name="column chart 2"/>
    <pivotTable tabId="5" name="map chart"/>
    <pivotTable tabId="5" name="pivot table line cahrt"/>
    <pivotTable tabId="5" name="PivotTable14"/>
    <pivotTable tabId="5" name="PivotTable21"/>
    <pivotTable tabId="5" name="PivotTable8"/>
    <pivotTable tabId="5" name="pivot table column chart 1"/>
  </pivotTables>
  <data>
    <tabular pivotCacheId="1079125682">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19E1C2F3-9BFC-4749-9448-82B4F1A0CDAE}" cache="Slicer_Order_Mode" caption="Order Mode" rowHeight="230716"/>
  <slicer name="Gender Value" xr10:uid="{2B96538E-3937-481F-98A0-3FF9F05435E5}" cache="Slicer_Gender_Value" caption="Gender Value"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35"/>
    <tableColumn id="7" xr3:uid="{43BB5DBF-46E1-4185-80C0-4361F55A385C}" name="Ship Date" dataDxfId="34"/>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33">
      <calculatedColumnFormula>orders[[#This Row],[Ship Date]]-orders[[#This Row],[Order Date]]</calculatedColumnFormula>
    </tableColumn>
    <tableColumn id="12" xr3:uid="{B071C0DA-87A9-4516-B4D9-4F5B7D3FF44A}" name="Weeknum" dataDxfId="32">
      <calculatedColumnFormula>WEEKNUM(orders[[#This Row],[Order Date]])</calculatedColumnFormula>
    </tableColumn>
    <tableColumn id="13" xr3:uid="{B8EA9E28-7541-4E76-9935-C26438661A18}" name="Gender Value" dataDxfId="31">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chandoo.org/wp/excel-school-program/" TargetMode="External"/><Relationship Id="rId1" Type="http://schemas.openxmlformats.org/officeDocument/2006/relationships/hyperlink" Target="https://youtu.be/l5qkg8gzY6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531" workbookViewId="0">
      <selection activeCell="B18" sqref="B18"/>
    </sheetView>
  </sheetViews>
  <sheetFormatPr defaultRowHeight="14" x14ac:dyDescent="0.3"/>
  <cols>
    <col min="2" max="2" width="19.1640625" customWidth="1"/>
    <col min="3" max="3" width="8.1640625" customWidth="1"/>
    <col min="4" max="4" width="9.1640625" customWidth="1"/>
    <col min="5" max="5" width="7.4140625" customWidth="1"/>
    <col min="6" max="6" width="10" customWidth="1"/>
    <col min="7" max="7" width="9.4140625" customWidth="1"/>
    <col min="8" max="8" width="15.6640625" customWidth="1"/>
    <col min="9" max="9" width="10.6640625" customWidth="1"/>
    <col min="10" max="10" width="7.75" customWidth="1"/>
    <col min="11" max="11" width="8.75" customWidth="1"/>
    <col min="12" max="12" width="19.6640625" customWidth="1"/>
    <col min="13" max="13" width="13.4140625" customWidth="1"/>
    <col min="14" max="14" width="9.4140625" customWidth="1"/>
    <col min="15" max="15" width="12.1640625"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3D4AC-8BC1-4F0F-934C-47CF0C12B057}">
  <dimension ref="A2:T96"/>
  <sheetViews>
    <sheetView topLeftCell="O54" zoomScaleNormal="100" workbookViewId="0">
      <selection activeCell="P87" sqref="P87"/>
    </sheetView>
  </sheetViews>
  <sheetFormatPr defaultRowHeight="14" x14ac:dyDescent="0.3"/>
  <cols>
    <col min="1" max="1" width="11.75" bestFit="1" customWidth="1"/>
    <col min="2" max="2" width="13.5" bestFit="1" customWidth="1"/>
    <col min="3" max="3" width="12.83203125" bestFit="1" customWidth="1"/>
    <col min="4" max="4" width="16.75" bestFit="1" customWidth="1"/>
    <col min="5" max="5" width="11.75" bestFit="1" customWidth="1"/>
    <col min="6" max="6" width="12.1640625" bestFit="1" customWidth="1"/>
    <col min="8" max="8" width="8.6640625" customWidth="1"/>
    <col min="9" max="9" width="11.75" customWidth="1"/>
    <col min="10" max="10" width="13.5" bestFit="1" customWidth="1"/>
    <col min="11" max="11" width="13.5" customWidth="1"/>
    <col min="12" max="12" width="12.83203125" customWidth="1"/>
    <col min="13" max="13" width="17" customWidth="1"/>
    <col min="14" max="14" width="16.33203125" customWidth="1"/>
    <col min="15" max="15" width="16.83203125" customWidth="1"/>
    <col min="18" max="18" width="19.83203125" customWidth="1"/>
    <col min="19" max="19" width="21.33203125" customWidth="1"/>
  </cols>
  <sheetData>
    <row r="2" spans="1:11" x14ac:dyDescent="0.3">
      <c r="G2" s="24" t="s">
        <v>2559</v>
      </c>
      <c r="H2" s="24"/>
      <c r="I2" s="24"/>
    </row>
    <row r="3" spans="1:11" x14ac:dyDescent="0.3">
      <c r="A3" t="s">
        <v>2554</v>
      </c>
      <c r="B3" t="s">
        <v>2555</v>
      </c>
      <c r="C3" t="s">
        <v>2556</v>
      </c>
      <c r="D3" t="s">
        <v>2557</v>
      </c>
      <c r="E3" t="s">
        <v>2558</v>
      </c>
      <c r="G3" t="s">
        <v>2538</v>
      </c>
      <c r="H3" t="s">
        <v>2560</v>
      </c>
      <c r="I3" t="s">
        <v>4</v>
      </c>
      <c r="J3" t="s">
        <v>2507</v>
      </c>
      <c r="K3" t="s">
        <v>2561</v>
      </c>
    </row>
    <row r="4" spans="1:11" x14ac:dyDescent="0.3">
      <c r="A4" s="23">
        <v>2400</v>
      </c>
      <c r="B4" s="23">
        <v>11997</v>
      </c>
      <c r="C4" s="23">
        <v>649019.80000000144</v>
      </c>
      <c r="D4" s="23">
        <v>3.9620833333333332</v>
      </c>
      <c r="E4" s="23">
        <v>2.3424999999999998</v>
      </c>
      <c r="G4" t="str">
        <f>TEXT(A4,"#,##")</f>
        <v>2,400</v>
      </c>
      <c r="H4" t="str">
        <f t="shared" ref="H4" si="0">TEXT(B4,"#,##")</f>
        <v>11,997</v>
      </c>
      <c r="I4" t="str">
        <f>TEXT(C4,"$#,##,.0k")</f>
        <v>$649.0k</v>
      </c>
      <c r="J4" t="str">
        <f>TEXT(D4,"0.0")</f>
        <v>4.0</v>
      </c>
      <c r="K4" t="str">
        <f>TEXT(E4,"0.0")</f>
        <v>2.3</v>
      </c>
    </row>
    <row r="8" spans="1:11" x14ac:dyDescent="0.3">
      <c r="A8" s="25" t="s">
        <v>2562</v>
      </c>
      <c r="E8" t="s">
        <v>2572</v>
      </c>
    </row>
    <row r="10" spans="1:11" x14ac:dyDescent="0.3">
      <c r="A10" s="21" t="s">
        <v>2552</v>
      </c>
      <c r="B10" t="s">
        <v>2555</v>
      </c>
      <c r="C10" s="26" t="s">
        <v>2556</v>
      </c>
      <c r="E10" s="21" t="s">
        <v>2552</v>
      </c>
      <c r="F10" t="s">
        <v>2554</v>
      </c>
    </row>
    <row r="11" spans="1:11" x14ac:dyDescent="0.3">
      <c r="A11" s="22">
        <v>1</v>
      </c>
      <c r="B11" s="23">
        <v>546</v>
      </c>
      <c r="C11" s="26">
        <v>32413.300000000003</v>
      </c>
      <c r="E11" s="22" t="s">
        <v>2575</v>
      </c>
      <c r="F11" s="23">
        <v>397</v>
      </c>
    </row>
    <row r="12" spans="1:11" x14ac:dyDescent="0.3">
      <c r="A12" s="22">
        <v>2</v>
      </c>
      <c r="B12" s="23">
        <v>905</v>
      </c>
      <c r="C12" s="26">
        <v>49562.999999999993</v>
      </c>
      <c r="E12" s="22" t="s">
        <v>2576</v>
      </c>
      <c r="F12" s="23">
        <v>540</v>
      </c>
    </row>
    <row r="13" spans="1:11" x14ac:dyDescent="0.3">
      <c r="A13" s="22">
        <v>3</v>
      </c>
      <c r="B13" s="23">
        <v>796</v>
      </c>
      <c r="C13" s="26">
        <v>41700.400000000016</v>
      </c>
      <c r="E13" s="22" t="s">
        <v>2577</v>
      </c>
      <c r="F13" s="23">
        <v>375</v>
      </c>
    </row>
    <row r="14" spans="1:11" x14ac:dyDescent="0.3">
      <c r="A14" s="22">
        <v>4</v>
      </c>
      <c r="B14" s="23">
        <v>913</v>
      </c>
      <c r="C14" s="26">
        <v>46782.599999999984</v>
      </c>
      <c r="E14" s="22" t="s">
        <v>2578</v>
      </c>
      <c r="F14" s="23">
        <v>246</v>
      </c>
    </row>
    <row r="15" spans="1:11" x14ac:dyDescent="0.3">
      <c r="A15" s="22">
        <v>5</v>
      </c>
      <c r="B15" s="23">
        <v>844</v>
      </c>
      <c r="C15" s="26">
        <v>42676.100000000006</v>
      </c>
      <c r="E15" s="22" t="s">
        <v>2579</v>
      </c>
      <c r="F15" s="23">
        <v>195</v>
      </c>
    </row>
    <row r="16" spans="1:11" x14ac:dyDescent="0.3">
      <c r="A16" s="22">
        <v>6</v>
      </c>
      <c r="B16" s="23">
        <v>1202</v>
      </c>
      <c r="C16" s="26">
        <v>62910.7</v>
      </c>
      <c r="E16" s="22" t="s">
        <v>2573</v>
      </c>
      <c r="F16" s="23">
        <v>414</v>
      </c>
    </row>
    <row r="17" spans="1:10" x14ac:dyDescent="0.3">
      <c r="A17" s="22">
        <v>7</v>
      </c>
      <c r="B17" s="23">
        <v>935</v>
      </c>
      <c r="C17" s="26">
        <v>50332.200000000004</v>
      </c>
      <c r="E17" s="22" t="s">
        <v>2574</v>
      </c>
      <c r="F17" s="23">
        <v>233</v>
      </c>
    </row>
    <row r="18" spans="1:10" x14ac:dyDescent="0.3">
      <c r="A18" s="22">
        <v>8</v>
      </c>
      <c r="B18" s="23">
        <v>1128</v>
      </c>
      <c r="C18" s="26">
        <v>58760.599999999977</v>
      </c>
      <c r="E18" s="22" t="s">
        <v>2553</v>
      </c>
      <c r="F18" s="23">
        <v>2400</v>
      </c>
    </row>
    <row r="19" spans="1:10" x14ac:dyDescent="0.3">
      <c r="A19" s="22">
        <v>9</v>
      </c>
      <c r="B19" s="23">
        <v>1007</v>
      </c>
      <c r="C19" s="26">
        <v>52017.299999999996</v>
      </c>
    </row>
    <row r="20" spans="1:10" x14ac:dyDescent="0.3">
      <c r="A20" s="22">
        <v>10</v>
      </c>
      <c r="B20" s="23">
        <v>1128</v>
      </c>
      <c r="C20" s="26">
        <v>64915.700000000033</v>
      </c>
    </row>
    <row r="21" spans="1:10" x14ac:dyDescent="0.3">
      <c r="A21" s="22">
        <v>11</v>
      </c>
      <c r="B21" s="23">
        <v>861</v>
      </c>
      <c r="C21" s="26">
        <v>45943.80000000001</v>
      </c>
    </row>
    <row r="22" spans="1:10" x14ac:dyDescent="0.3">
      <c r="A22" s="22">
        <v>12</v>
      </c>
      <c r="B22" s="23">
        <v>944</v>
      </c>
      <c r="C22" s="26">
        <v>55077.900000000031</v>
      </c>
    </row>
    <row r="23" spans="1:10" x14ac:dyDescent="0.3">
      <c r="A23" s="22">
        <v>13</v>
      </c>
      <c r="B23" s="23">
        <v>788</v>
      </c>
      <c r="C23" s="26">
        <v>45926.19999999999</v>
      </c>
    </row>
    <row r="24" spans="1:10" x14ac:dyDescent="0.3">
      <c r="A24" s="22" t="s">
        <v>2553</v>
      </c>
      <c r="B24" s="23">
        <v>11997</v>
      </c>
      <c r="C24" s="26">
        <v>649019.79999999993</v>
      </c>
    </row>
    <row r="28" spans="1:10" x14ac:dyDescent="0.3">
      <c r="A28" s="21" t="s">
        <v>2555</v>
      </c>
      <c r="B28" s="21" t="s">
        <v>2563</v>
      </c>
      <c r="I28" s="21" t="s">
        <v>2552</v>
      </c>
      <c r="J28" t="s">
        <v>2555</v>
      </c>
    </row>
    <row r="29" spans="1:10" x14ac:dyDescent="0.3">
      <c r="A29" s="21" t="s">
        <v>2552</v>
      </c>
      <c r="B29" t="s">
        <v>2564</v>
      </c>
      <c r="C29" t="s">
        <v>2565</v>
      </c>
      <c r="D29" t="s">
        <v>2566</v>
      </c>
      <c r="E29" t="s">
        <v>2567</v>
      </c>
      <c r="F29" t="s">
        <v>2553</v>
      </c>
      <c r="I29" s="22" t="s">
        <v>2564</v>
      </c>
      <c r="J29" s="23">
        <v>6272</v>
      </c>
    </row>
    <row r="30" spans="1:10" x14ac:dyDescent="0.3">
      <c r="A30" s="22" t="s">
        <v>44</v>
      </c>
      <c r="B30" s="23">
        <v>744</v>
      </c>
      <c r="C30" s="23">
        <v>713</v>
      </c>
      <c r="D30" s="23">
        <v>90</v>
      </c>
      <c r="E30" s="23">
        <v>98</v>
      </c>
      <c r="F30" s="23">
        <v>1645</v>
      </c>
      <c r="I30" s="22" t="s">
        <v>2565</v>
      </c>
      <c r="J30" s="23">
        <v>4672</v>
      </c>
    </row>
    <row r="31" spans="1:10" x14ac:dyDescent="0.3">
      <c r="A31" s="22" t="s">
        <v>39</v>
      </c>
      <c r="B31" s="23">
        <v>716</v>
      </c>
      <c r="C31" s="23">
        <v>598</v>
      </c>
      <c r="D31" s="23">
        <v>18</v>
      </c>
      <c r="E31" s="23">
        <v>214</v>
      </c>
      <c r="F31" s="23">
        <v>1546</v>
      </c>
      <c r="I31" s="22" t="s">
        <v>2566</v>
      </c>
      <c r="J31" s="23">
        <v>317</v>
      </c>
    </row>
    <row r="32" spans="1:10" x14ac:dyDescent="0.3">
      <c r="A32" s="22" t="s">
        <v>26</v>
      </c>
      <c r="B32" s="23">
        <v>627</v>
      </c>
      <c r="C32" s="23">
        <v>393</v>
      </c>
      <c r="D32" s="23">
        <v>29</v>
      </c>
      <c r="E32" s="23">
        <v>137</v>
      </c>
      <c r="F32" s="23">
        <v>1186</v>
      </c>
      <c r="I32" s="22" t="s">
        <v>2567</v>
      </c>
      <c r="J32" s="23">
        <v>736</v>
      </c>
    </row>
    <row r="33" spans="1:20" x14ac:dyDescent="0.3">
      <c r="A33" s="22" t="s">
        <v>22</v>
      </c>
      <c r="B33" s="23">
        <v>568</v>
      </c>
      <c r="C33" s="23">
        <v>306</v>
      </c>
      <c r="D33" s="23">
        <v>22</v>
      </c>
      <c r="E33" s="23">
        <v>16</v>
      </c>
      <c r="F33" s="23">
        <v>912</v>
      </c>
      <c r="I33" s="22" t="s">
        <v>2553</v>
      </c>
      <c r="J33" s="23">
        <v>11997</v>
      </c>
    </row>
    <row r="34" spans="1:20" x14ac:dyDescent="0.3">
      <c r="A34" s="22" t="s">
        <v>54</v>
      </c>
      <c r="B34" s="23">
        <v>482</v>
      </c>
      <c r="C34" s="23">
        <v>295</v>
      </c>
      <c r="D34" s="23">
        <v>8</v>
      </c>
      <c r="E34" s="23">
        <v>22</v>
      </c>
      <c r="F34" s="23">
        <v>807</v>
      </c>
    </row>
    <row r="35" spans="1:20" x14ac:dyDescent="0.3">
      <c r="A35" s="22" t="s">
        <v>16</v>
      </c>
      <c r="B35" s="23">
        <v>428</v>
      </c>
      <c r="C35" s="23">
        <v>293</v>
      </c>
      <c r="D35" s="23"/>
      <c r="E35" s="23">
        <v>24</v>
      </c>
      <c r="F35" s="23">
        <v>745</v>
      </c>
    </row>
    <row r="36" spans="1:20" x14ac:dyDescent="0.3">
      <c r="A36" s="22" t="s">
        <v>46</v>
      </c>
      <c r="B36" s="23">
        <v>445</v>
      </c>
      <c r="C36" s="23">
        <v>202</v>
      </c>
      <c r="D36" s="23">
        <v>14</v>
      </c>
      <c r="E36" s="23">
        <v>39</v>
      </c>
      <c r="F36" s="23">
        <v>700</v>
      </c>
    </row>
    <row r="37" spans="1:20" x14ac:dyDescent="0.3">
      <c r="A37" s="22" t="s">
        <v>32</v>
      </c>
      <c r="B37" s="23">
        <v>431</v>
      </c>
      <c r="C37" s="23">
        <v>187</v>
      </c>
      <c r="D37" s="23">
        <v>14</v>
      </c>
      <c r="E37" s="23">
        <v>15</v>
      </c>
      <c r="F37" s="23">
        <v>647</v>
      </c>
      <c r="N37" t="s">
        <v>2581</v>
      </c>
      <c r="R37" t="s">
        <v>2580</v>
      </c>
    </row>
    <row r="38" spans="1:20" x14ac:dyDescent="0.3">
      <c r="A38" s="22" t="s">
        <v>42</v>
      </c>
      <c r="B38" s="23">
        <v>264</v>
      </c>
      <c r="C38" s="23">
        <v>318</v>
      </c>
      <c r="D38" s="23">
        <v>15</v>
      </c>
      <c r="E38" s="23">
        <v>9</v>
      </c>
      <c r="F38" s="23">
        <v>606</v>
      </c>
      <c r="I38" s="21" t="s">
        <v>10</v>
      </c>
      <c r="J38" s="21" t="s">
        <v>11</v>
      </c>
      <c r="K38" t="s">
        <v>2555</v>
      </c>
      <c r="L38" t="s">
        <v>2556</v>
      </c>
      <c r="N38" t="s">
        <v>10</v>
      </c>
      <c r="O38" t="s">
        <v>11</v>
      </c>
      <c r="P38" t="s">
        <v>2560</v>
      </c>
      <c r="R38" t="s">
        <v>10</v>
      </c>
      <c r="S38" t="s">
        <v>11</v>
      </c>
      <c r="T38" t="s">
        <v>4</v>
      </c>
    </row>
    <row r="39" spans="1:20" x14ac:dyDescent="0.3">
      <c r="A39" s="22" t="s">
        <v>37</v>
      </c>
      <c r="B39" s="23">
        <v>296</v>
      </c>
      <c r="C39" s="23">
        <v>275</v>
      </c>
      <c r="D39" s="23">
        <v>9</v>
      </c>
      <c r="E39" s="23">
        <v>23</v>
      </c>
      <c r="F39" s="23">
        <v>603</v>
      </c>
      <c r="I39" t="s">
        <v>19</v>
      </c>
      <c r="J39" t="s">
        <v>115</v>
      </c>
      <c r="K39" s="23">
        <v>579</v>
      </c>
      <c r="L39" s="43">
        <v>31884.999999999996</v>
      </c>
      <c r="N39" t="str">
        <f>IF(I39="","",I39)</f>
        <v>California</v>
      </c>
      <c r="O39" t="str">
        <f t="shared" ref="O39:P39" si="1">IF(J39="","",J39)</f>
        <v>Alameda County</v>
      </c>
      <c r="P39">
        <f t="shared" si="1"/>
        <v>579</v>
      </c>
      <c r="R39" t="str">
        <f>IF(I39="","",I39)</f>
        <v>California</v>
      </c>
      <c r="S39" t="str">
        <f>IF(J39="","",J39)</f>
        <v>Alameda County</v>
      </c>
      <c r="T39">
        <f>L39</f>
        <v>31884.999999999996</v>
      </c>
    </row>
    <row r="40" spans="1:20" x14ac:dyDescent="0.3">
      <c r="A40" s="22" t="s">
        <v>123</v>
      </c>
      <c r="B40" s="23">
        <v>153</v>
      </c>
      <c r="C40" s="23">
        <v>246</v>
      </c>
      <c r="D40" s="23">
        <v>30</v>
      </c>
      <c r="E40" s="23">
        <v>8</v>
      </c>
      <c r="F40" s="23">
        <v>437</v>
      </c>
      <c r="I40" t="s">
        <v>19</v>
      </c>
      <c r="J40" t="s">
        <v>20</v>
      </c>
      <c r="K40" s="23">
        <v>1</v>
      </c>
      <c r="L40" s="43">
        <v>10.9</v>
      </c>
      <c r="N40" t="str">
        <f t="shared" ref="N40:N72" si="2">IF(I40="","",I40)</f>
        <v>California</v>
      </c>
      <c r="O40" t="str">
        <f t="shared" ref="O40:O72" si="3">IF(J40="","",J40)</f>
        <v>Alpine County</v>
      </c>
      <c r="P40">
        <f t="shared" ref="P40:P72" si="4">IF(K40="","",K40)</f>
        <v>1</v>
      </c>
      <c r="R40" t="str" cm="1">
        <f t="array" ref="R40:S40">I40:J40</f>
        <v>California</v>
      </c>
      <c r="S40" t="str">
        <v>Alpine County</v>
      </c>
      <c r="T40">
        <f t="shared" ref="T40:T96" si="5">L40</f>
        <v>10.9</v>
      </c>
    </row>
    <row r="41" spans="1:20" x14ac:dyDescent="0.3">
      <c r="A41" s="22" t="s">
        <v>146</v>
      </c>
      <c r="B41" s="23">
        <v>189</v>
      </c>
      <c r="C41" s="23">
        <v>168</v>
      </c>
      <c r="D41" s="23">
        <v>10</v>
      </c>
      <c r="E41" s="23">
        <v>31</v>
      </c>
      <c r="F41" s="23">
        <v>398</v>
      </c>
      <c r="I41" t="s">
        <v>19</v>
      </c>
      <c r="J41" t="s">
        <v>641</v>
      </c>
      <c r="K41" s="23">
        <v>9</v>
      </c>
      <c r="L41" s="43">
        <v>800.3</v>
      </c>
      <c r="N41" t="str">
        <f t="shared" si="2"/>
        <v>California</v>
      </c>
      <c r="O41" t="str">
        <f t="shared" si="3"/>
        <v>Amador County</v>
      </c>
      <c r="P41">
        <f t="shared" si="4"/>
        <v>9</v>
      </c>
      <c r="R41" t="str" cm="1">
        <f t="array" ref="R41:S41">I41:J41</f>
        <v>California</v>
      </c>
      <c r="S41" t="str">
        <v>Amador County</v>
      </c>
      <c r="T41">
        <f t="shared" si="5"/>
        <v>800.3</v>
      </c>
    </row>
    <row r="42" spans="1:20" x14ac:dyDescent="0.3">
      <c r="A42" s="22" t="s">
        <v>69</v>
      </c>
      <c r="B42" s="23">
        <v>234</v>
      </c>
      <c r="C42" s="23">
        <v>93</v>
      </c>
      <c r="D42" s="23">
        <v>19</v>
      </c>
      <c r="E42" s="23">
        <v>24</v>
      </c>
      <c r="F42" s="23">
        <v>370</v>
      </c>
      <c r="I42" t="s">
        <v>19</v>
      </c>
      <c r="J42" t="s">
        <v>967</v>
      </c>
      <c r="K42" s="23">
        <v>35</v>
      </c>
      <c r="L42" s="43">
        <v>1062.5999999999999</v>
      </c>
      <c r="N42" t="str">
        <f t="shared" si="2"/>
        <v>California</v>
      </c>
      <c r="O42" t="str">
        <f t="shared" si="3"/>
        <v>Butte County</v>
      </c>
      <c r="P42">
        <f t="shared" si="4"/>
        <v>35</v>
      </c>
      <c r="R42" t="str" cm="1">
        <f t="array" ref="R42:S42">I42:J42</f>
        <v>California</v>
      </c>
      <c r="S42" t="str">
        <v>Butte County</v>
      </c>
      <c r="T42">
        <f t="shared" si="5"/>
        <v>1062.5999999999999</v>
      </c>
    </row>
    <row r="43" spans="1:20" x14ac:dyDescent="0.3">
      <c r="A43" s="22" t="s">
        <v>30</v>
      </c>
      <c r="B43" s="23">
        <v>146</v>
      </c>
      <c r="C43" s="23">
        <v>94</v>
      </c>
      <c r="D43" s="23">
        <v>4</v>
      </c>
      <c r="E43" s="23">
        <v>28</v>
      </c>
      <c r="F43" s="23">
        <v>272</v>
      </c>
      <c r="I43" t="s">
        <v>19</v>
      </c>
      <c r="J43" t="s">
        <v>84</v>
      </c>
      <c r="K43" s="23">
        <v>12</v>
      </c>
      <c r="L43" s="43">
        <v>326.20000000000005</v>
      </c>
      <c r="N43" t="str">
        <f t="shared" si="2"/>
        <v>California</v>
      </c>
      <c r="O43" t="str">
        <f t="shared" si="3"/>
        <v>Calaveras County</v>
      </c>
      <c r="P43">
        <f t="shared" si="4"/>
        <v>12</v>
      </c>
      <c r="R43" t="str" cm="1">
        <f t="array" ref="R43:S43">I43:J43</f>
        <v>California</v>
      </c>
      <c r="S43" t="str">
        <v>Calaveras County</v>
      </c>
      <c r="T43">
        <f t="shared" si="5"/>
        <v>326.20000000000005</v>
      </c>
    </row>
    <row r="44" spans="1:20" x14ac:dyDescent="0.3">
      <c r="A44" s="22" t="s">
        <v>135</v>
      </c>
      <c r="B44" s="23">
        <v>127</v>
      </c>
      <c r="C44" s="23">
        <v>118</v>
      </c>
      <c r="D44" s="23">
        <v>13</v>
      </c>
      <c r="E44" s="23">
        <v>12</v>
      </c>
      <c r="F44" s="23">
        <v>270</v>
      </c>
      <c r="I44" t="s">
        <v>19</v>
      </c>
      <c r="J44" t="s">
        <v>1383</v>
      </c>
      <c r="K44" s="23">
        <v>4</v>
      </c>
      <c r="L44" s="43">
        <v>167.5</v>
      </c>
      <c r="N44" t="str">
        <f t="shared" si="2"/>
        <v>California</v>
      </c>
      <c r="O44" t="str">
        <f t="shared" si="3"/>
        <v>Colusa County</v>
      </c>
      <c r="P44">
        <f t="shared" si="4"/>
        <v>4</v>
      </c>
      <c r="R44" t="str" cm="1">
        <f t="array" ref="R44:S44">I44:J44</f>
        <v>California</v>
      </c>
      <c r="S44" t="str">
        <v>Colusa County</v>
      </c>
      <c r="T44">
        <f t="shared" si="5"/>
        <v>167.5</v>
      </c>
    </row>
    <row r="45" spans="1:20" x14ac:dyDescent="0.3">
      <c r="A45" s="22" t="s">
        <v>67</v>
      </c>
      <c r="B45" s="23">
        <v>179</v>
      </c>
      <c r="C45" s="23">
        <v>76</v>
      </c>
      <c r="D45" s="23">
        <v>3</v>
      </c>
      <c r="E45" s="23"/>
      <c r="F45" s="23">
        <v>258</v>
      </c>
      <c r="I45" t="s">
        <v>19</v>
      </c>
      <c r="J45" t="s">
        <v>24</v>
      </c>
      <c r="K45" s="23">
        <v>341</v>
      </c>
      <c r="L45" s="43">
        <v>16168.7</v>
      </c>
      <c r="N45" t="str">
        <f t="shared" si="2"/>
        <v>California</v>
      </c>
      <c r="O45" t="str">
        <f t="shared" si="3"/>
        <v>Contra Costa County</v>
      </c>
      <c r="P45">
        <f t="shared" si="4"/>
        <v>341</v>
      </c>
      <c r="R45" t="str" cm="1">
        <f t="array" ref="R45:S45">I45:J45</f>
        <v>California</v>
      </c>
      <c r="S45" t="str">
        <v>Contra Costa County</v>
      </c>
      <c r="T45">
        <f t="shared" si="5"/>
        <v>16168.7</v>
      </c>
    </row>
    <row r="46" spans="1:20" x14ac:dyDescent="0.3">
      <c r="A46" s="22" t="s">
        <v>128</v>
      </c>
      <c r="B46" s="23">
        <v>99</v>
      </c>
      <c r="C46" s="23">
        <v>69</v>
      </c>
      <c r="D46" s="23">
        <v>3</v>
      </c>
      <c r="E46" s="23">
        <v>24</v>
      </c>
      <c r="F46" s="23">
        <v>195</v>
      </c>
      <c r="I46" t="s">
        <v>19</v>
      </c>
      <c r="J46" t="s">
        <v>2204</v>
      </c>
      <c r="K46" s="23">
        <v>13</v>
      </c>
      <c r="L46" s="43">
        <v>322.40000000000003</v>
      </c>
      <c r="N46" t="str">
        <f t="shared" si="2"/>
        <v>California</v>
      </c>
      <c r="O46" t="str">
        <f t="shared" si="3"/>
        <v>Del Norte County</v>
      </c>
      <c r="P46">
        <f t="shared" si="4"/>
        <v>13</v>
      </c>
      <c r="R46" t="str" cm="1">
        <f t="array" ref="R46:S46">I46:J46</f>
        <v>California</v>
      </c>
      <c r="S46" t="str">
        <v>Del Norte County</v>
      </c>
      <c r="T46">
        <f t="shared" si="5"/>
        <v>322.40000000000003</v>
      </c>
    </row>
    <row r="47" spans="1:20" x14ac:dyDescent="0.3">
      <c r="A47" s="22" t="s">
        <v>76</v>
      </c>
      <c r="B47" s="23">
        <v>75</v>
      </c>
      <c r="C47" s="23">
        <v>103</v>
      </c>
      <c r="D47" s="23">
        <v>4</v>
      </c>
      <c r="E47" s="23">
        <v>6</v>
      </c>
      <c r="F47" s="23">
        <v>188</v>
      </c>
      <c r="I47" t="s">
        <v>19</v>
      </c>
      <c r="J47" t="s">
        <v>437</v>
      </c>
      <c r="K47" s="23">
        <v>31</v>
      </c>
      <c r="L47" s="43">
        <v>2092.8000000000002</v>
      </c>
      <c r="N47" t="str">
        <f t="shared" si="2"/>
        <v>California</v>
      </c>
      <c r="O47" t="str">
        <f t="shared" si="3"/>
        <v>El Dorado County</v>
      </c>
      <c r="P47">
        <f t="shared" si="4"/>
        <v>31</v>
      </c>
      <c r="R47" t="str" cm="1">
        <f t="array" ref="R47:S47">I47:J47</f>
        <v>California</v>
      </c>
      <c r="S47" t="str">
        <v>El Dorado County</v>
      </c>
      <c r="T47">
        <f t="shared" si="5"/>
        <v>2092.8000000000002</v>
      </c>
    </row>
    <row r="48" spans="1:20" x14ac:dyDescent="0.3">
      <c r="A48" s="22" t="s">
        <v>81</v>
      </c>
      <c r="B48" s="23">
        <v>43</v>
      </c>
      <c r="C48" s="23">
        <v>90</v>
      </c>
      <c r="D48" s="23">
        <v>8</v>
      </c>
      <c r="E48" s="23">
        <v>6</v>
      </c>
      <c r="F48" s="23">
        <v>147</v>
      </c>
      <c r="I48" t="s">
        <v>19</v>
      </c>
      <c r="J48" t="s">
        <v>28</v>
      </c>
      <c r="K48" s="23">
        <v>279</v>
      </c>
      <c r="L48" s="43">
        <v>12662.500000000002</v>
      </c>
      <c r="N48" t="str">
        <f t="shared" si="2"/>
        <v>California</v>
      </c>
      <c r="O48" t="str">
        <f t="shared" si="3"/>
        <v>Fresno County</v>
      </c>
      <c r="P48">
        <f t="shared" si="4"/>
        <v>279</v>
      </c>
      <c r="R48" t="str" cm="1">
        <f t="array" ref="R48:S48">I48:J48</f>
        <v>California</v>
      </c>
      <c r="S48" t="str">
        <v>Fresno County</v>
      </c>
      <c r="T48">
        <f t="shared" si="5"/>
        <v>12662.500000000002</v>
      </c>
    </row>
    <row r="49" spans="1:20" x14ac:dyDescent="0.3">
      <c r="A49" s="22" t="s">
        <v>171</v>
      </c>
      <c r="B49" s="23">
        <v>26</v>
      </c>
      <c r="C49" s="23">
        <v>35</v>
      </c>
      <c r="D49" s="23">
        <v>4</v>
      </c>
      <c r="E49" s="23"/>
      <c r="F49" s="23">
        <v>65</v>
      </c>
      <c r="I49" t="s">
        <v>19</v>
      </c>
      <c r="J49" t="s">
        <v>208</v>
      </c>
      <c r="K49" s="23">
        <v>9</v>
      </c>
      <c r="L49" s="43">
        <v>343.2</v>
      </c>
      <c r="N49" t="str">
        <f t="shared" si="2"/>
        <v>California</v>
      </c>
      <c r="O49" t="str">
        <f t="shared" si="3"/>
        <v>Glenn County</v>
      </c>
      <c r="P49">
        <f t="shared" si="4"/>
        <v>9</v>
      </c>
      <c r="R49" t="str" cm="1">
        <f t="array" ref="R49:S49">I49:J49</f>
        <v>California</v>
      </c>
      <c r="S49" t="str">
        <v>Glenn County</v>
      </c>
      <c r="T49">
        <f t="shared" si="5"/>
        <v>343.2</v>
      </c>
    </row>
    <row r="50" spans="1:20" x14ac:dyDescent="0.3">
      <c r="A50" s="22" t="s">
        <v>2553</v>
      </c>
      <c r="B50" s="23">
        <v>6272</v>
      </c>
      <c r="C50" s="23">
        <v>4672</v>
      </c>
      <c r="D50" s="23">
        <v>317</v>
      </c>
      <c r="E50" s="23">
        <v>736</v>
      </c>
      <c r="F50" s="23">
        <v>11997</v>
      </c>
      <c r="I50" t="s">
        <v>19</v>
      </c>
      <c r="J50" t="s">
        <v>587</v>
      </c>
      <c r="K50" s="23">
        <v>49</v>
      </c>
      <c r="L50" s="43">
        <v>2188.2999999999997</v>
      </c>
      <c r="N50" t="str">
        <f t="shared" si="2"/>
        <v>California</v>
      </c>
      <c r="O50" t="str">
        <f t="shared" si="3"/>
        <v>Humboldt County</v>
      </c>
      <c r="P50">
        <f t="shared" si="4"/>
        <v>49</v>
      </c>
      <c r="R50" t="str" cm="1">
        <f t="array" ref="R50:S50">I50:J50</f>
        <v>California</v>
      </c>
      <c r="S50" t="str">
        <v>Humboldt County</v>
      </c>
      <c r="T50">
        <f t="shared" si="5"/>
        <v>2188.2999999999997</v>
      </c>
    </row>
    <row r="51" spans="1:20" x14ac:dyDescent="0.3">
      <c r="I51" t="s">
        <v>19</v>
      </c>
      <c r="J51" t="s">
        <v>331</v>
      </c>
      <c r="K51" s="23">
        <v>59</v>
      </c>
      <c r="L51" s="43">
        <v>2661.5999999999995</v>
      </c>
      <c r="N51" t="str">
        <f t="shared" si="2"/>
        <v>California</v>
      </c>
      <c r="O51" t="str">
        <f t="shared" si="3"/>
        <v>Imperial County</v>
      </c>
      <c r="P51">
        <f t="shared" si="4"/>
        <v>59</v>
      </c>
      <c r="R51" t="str" cm="1">
        <f t="array" ref="R51:S51">I51:J51</f>
        <v>California</v>
      </c>
      <c r="S51" t="str">
        <v>Imperial County</v>
      </c>
      <c r="T51">
        <f t="shared" si="5"/>
        <v>2661.5999999999995</v>
      </c>
    </row>
    <row r="52" spans="1:20" x14ac:dyDescent="0.3">
      <c r="I52" t="s">
        <v>19</v>
      </c>
      <c r="J52" t="s">
        <v>86</v>
      </c>
      <c r="K52" s="23">
        <v>8</v>
      </c>
      <c r="L52" s="43">
        <v>887.5</v>
      </c>
      <c r="N52" t="str">
        <f t="shared" si="2"/>
        <v>California</v>
      </c>
      <c r="O52" t="str">
        <f t="shared" si="3"/>
        <v>Inyo County</v>
      </c>
      <c r="P52">
        <f t="shared" si="4"/>
        <v>8</v>
      </c>
      <c r="R52" t="str" cm="1">
        <f t="array" ref="R52:S52">I52:J52</f>
        <v>California</v>
      </c>
      <c r="S52" t="str">
        <v>Inyo County</v>
      </c>
      <c r="T52">
        <f t="shared" si="5"/>
        <v>887.5</v>
      </c>
    </row>
    <row r="53" spans="1:20" x14ac:dyDescent="0.3">
      <c r="I53" t="s">
        <v>19</v>
      </c>
      <c r="J53" t="s">
        <v>147</v>
      </c>
      <c r="K53" s="23">
        <v>222</v>
      </c>
      <c r="L53" s="43">
        <v>11354.199999999993</v>
      </c>
      <c r="N53" t="str">
        <f t="shared" si="2"/>
        <v>California</v>
      </c>
      <c r="O53" t="str">
        <f t="shared" si="3"/>
        <v>Kern County</v>
      </c>
      <c r="P53">
        <f t="shared" si="4"/>
        <v>222</v>
      </c>
      <c r="R53" t="str" cm="1">
        <f t="array" ref="R53:S53">I53:J53</f>
        <v>California</v>
      </c>
      <c r="S53" t="str">
        <v>Kern County</v>
      </c>
      <c r="T53">
        <f t="shared" si="5"/>
        <v>11354.199999999993</v>
      </c>
    </row>
    <row r="54" spans="1:20" x14ac:dyDescent="0.3">
      <c r="A54" s="21" t="s">
        <v>2552</v>
      </c>
      <c r="B54" t="s">
        <v>2554</v>
      </c>
      <c r="I54" t="s">
        <v>19</v>
      </c>
      <c r="J54" t="s">
        <v>334</v>
      </c>
      <c r="K54" s="23">
        <v>36</v>
      </c>
      <c r="L54" s="43">
        <v>1558.4</v>
      </c>
      <c r="N54" t="str">
        <f t="shared" si="2"/>
        <v>California</v>
      </c>
      <c r="O54" t="str">
        <f t="shared" si="3"/>
        <v>Kings County</v>
      </c>
      <c r="P54">
        <f t="shared" si="4"/>
        <v>36</v>
      </c>
      <c r="R54" t="str" cm="1">
        <f t="array" ref="R54:S54">I54:J54</f>
        <v>California</v>
      </c>
      <c r="S54" t="str">
        <v>Kings County</v>
      </c>
      <c r="T54">
        <f t="shared" si="5"/>
        <v>1558.4</v>
      </c>
    </row>
    <row r="55" spans="1:20" x14ac:dyDescent="0.3">
      <c r="A55" s="22">
        <v>0</v>
      </c>
      <c r="B55" s="23">
        <v>175</v>
      </c>
      <c r="I55" t="s">
        <v>19</v>
      </c>
      <c r="J55" t="s">
        <v>949</v>
      </c>
      <c r="K55" s="23">
        <v>30</v>
      </c>
      <c r="L55" s="43">
        <v>2223.9</v>
      </c>
      <c r="N55" t="str">
        <f t="shared" si="2"/>
        <v>California</v>
      </c>
      <c r="O55" t="str">
        <f t="shared" si="3"/>
        <v>Lake County</v>
      </c>
      <c r="P55">
        <f t="shared" si="4"/>
        <v>30</v>
      </c>
      <c r="R55" t="str" cm="1">
        <f t="array" ref="R55:S55">I55:J55</f>
        <v>California</v>
      </c>
      <c r="S55" t="str">
        <v>Lake County</v>
      </c>
      <c r="T55">
        <f t="shared" si="5"/>
        <v>2223.9</v>
      </c>
    </row>
    <row r="56" spans="1:20" x14ac:dyDescent="0.3">
      <c r="A56" s="22">
        <v>1</v>
      </c>
      <c r="B56" s="23">
        <v>888</v>
      </c>
      <c r="I56" t="s">
        <v>19</v>
      </c>
      <c r="J56" t="s">
        <v>1426</v>
      </c>
      <c r="K56" s="23">
        <v>1</v>
      </c>
      <c r="L56" s="43">
        <v>26.2</v>
      </c>
      <c r="N56" t="str">
        <f t="shared" si="2"/>
        <v>California</v>
      </c>
      <c r="O56" t="str">
        <f t="shared" si="3"/>
        <v>Lassen County</v>
      </c>
      <c r="P56">
        <f t="shared" si="4"/>
        <v>1</v>
      </c>
      <c r="R56" t="str" cm="1">
        <f t="array" ref="R56:S56">I56:J56</f>
        <v>California</v>
      </c>
      <c r="S56" t="str">
        <v>Lassen County</v>
      </c>
      <c r="T56">
        <f t="shared" si="5"/>
        <v>26.2</v>
      </c>
    </row>
    <row r="57" spans="1:20" x14ac:dyDescent="0.3">
      <c r="A57" s="22">
        <v>2</v>
      </c>
      <c r="B57" s="23">
        <v>538</v>
      </c>
      <c r="I57" t="s">
        <v>19</v>
      </c>
      <c r="J57" t="s">
        <v>33</v>
      </c>
      <c r="K57" s="23">
        <v>3991</v>
      </c>
      <c r="L57" s="43">
        <v>215551.19999999981</v>
      </c>
      <c r="N57" t="str">
        <f t="shared" si="2"/>
        <v>California</v>
      </c>
      <c r="O57" t="str">
        <f t="shared" si="3"/>
        <v>Los Angeles County</v>
      </c>
      <c r="P57">
        <f t="shared" si="4"/>
        <v>3991</v>
      </c>
      <c r="R57" t="str" cm="1">
        <f t="array" ref="R57:S57">I57:J57</f>
        <v>California</v>
      </c>
      <c r="S57" t="str">
        <v>Los Angeles County</v>
      </c>
      <c r="T57">
        <f t="shared" si="5"/>
        <v>215551.19999999981</v>
      </c>
    </row>
    <row r="58" spans="1:20" x14ac:dyDescent="0.3">
      <c r="A58" s="22">
        <v>3</v>
      </c>
      <c r="B58" s="23">
        <v>344</v>
      </c>
      <c r="I58" t="s">
        <v>19</v>
      </c>
      <c r="J58" t="s">
        <v>364</v>
      </c>
      <c r="K58" s="23">
        <v>45</v>
      </c>
      <c r="L58" s="43">
        <v>2687.3999999999996</v>
      </c>
      <c r="N58" t="str">
        <f t="shared" si="2"/>
        <v>California</v>
      </c>
      <c r="O58" t="str">
        <f t="shared" si="3"/>
        <v>Madera County</v>
      </c>
      <c r="P58">
        <f t="shared" si="4"/>
        <v>45</v>
      </c>
      <c r="R58" t="str" cm="1">
        <f t="array" ref="R58:S58">I58:J58</f>
        <v>California</v>
      </c>
      <c r="S58" t="str">
        <v>Madera County</v>
      </c>
      <c r="T58">
        <f t="shared" si="5"/>
        <v>2687.3999999999996</v>
      </c>
    </row>
    <row r="59" spans="1:20" x14ac:dyDescent="0.3">
      <c r="A59" s="22">
        <v>4</v>
      </c>
      <c r="B59" s="23">
        <v>200</v>
      </c>
      <c r="I59" t="s">
        <v>19</v>
      </c>
      <c r="J59" t="s">
        <v>545</v>
      </c>
      <c r="K59" s="23">
        <v>39</v>
      </c>
      <c r="L59" s="43">
        <v>1463.3000000000002</v>
      </c>
      <c r="N59" t="str">
        <f t="shared" si="2"/>
        <v>California</v>
      </c>
      <c r="O59" t="str">
        <f t="shared" si="3"/>
        <v>Marin County</v>
      </c>
      <c r="P59">
        <f t="shared" si="4"/>
        <v>39</v>
      </c>
      <c r="R59" t="str" cm="1">
        <f t="array" ref="R59:S59">I59:J59</f>
        <v>California</v>
      </c>
      <c r="S59" t="str">
        <v>Marin County</v>
      </c>
      <c r="T59">
        <f t="shared" si="5"/>
        <v>1463.3000000000002</v>
      </c>
    </row>
    <row r="60" spans="1:20" x14ac:dyDescent="0.3">
      <c r="A60" s="22">
        <v>5</v>
      </c>
      <c r="B60" s="23">
        <v>94</v>
      </c>
      <c r="I60" t="s">
        <v>19</v>
      </c>
      <c r="J60" t="s">
        <v>416</v>
      </c>
      <c r="K60" s="23">
        <v>6</v>
      </c>
      <c r="L60" s="43">
        <v>445.79999999999995</v>
      </c>
      <c r="N60" t="str">
        <f t="shared" si="2"/>
        <v>California</v>
      </c>
      <c r="O60" t="str">
        <f t="shared" si="3"/>
        <v>Mariposa County</v>
      </c>
      <c r="P60">
        <f t="shared" si="4"/>
        <v>6</v>
      </c>
      <c r="R60" t="str" cm="1">
        <f t="array" ref="R60:S60">I60:J60</f>
        <v>California</v>
      </c>
      <c r="S60" t="str">
        <v>Mariposa County</v>
      </c>
      <c r="T60">
        <f t="shared" si="5"/>
        <v>445.79999999999995</v>
      </c>
    </row>
    <row r="61" spans="1:20" x14ac:dyDescent="0.3">
      <c r="A61" s="22">
        <v>6</v>
      </c>
      <c r="B61" s="23">
        <v>51</v>
      </c>
      <c r="I61" t="s">
        <v>19</v>
      </c>
      <c r="J61" t="s">
        <v>258</v>
      </c>
      <c r="K61" s="23">
        <v>9</v>
      </c>
      <c r="L61" s="43">
        <v>273.59999999999997</v>
      </c>
      <c r="N61" t="str">
        <f t="shared" si="2"/>
        <v>California</v>
      </c>
      <c r="O61" t="str">
        <f t="shared" si="3"/>
        <v>Mendocino County</v>
      </c>
      <c r="P61">
        <f t="shared" si="4"/>
        <v>9</v>
      </c>
      <c r="R61" t="str" cm="1">
        <f t="array" ref="R61:S61">I61:J61</f>
        <v>California</v>
      </c>
      <c r="S61" t="str">
        <v>Mendocino County</v>
      </c>
      <c r="T61">
        <f t="shared" si="5"/>
        <v>273.59999999999997</v>
      </c>
    </row>
    <row r="62" spans="1:20" x14ac:dyDescent="0.3">
      <c r="A62" s="22">
        <v>7</v>
      </c>
      <c r="B62" s="23">
        <v>32</v>
      </c>
      <c r="I62" t="s">
        <v>19</v>
      </c>
      <c r="J62" t="s">
        <v>186</v>
      </c>
      <c r="K62" s="23">
        <v>60</v>
      </c>
      <c r="L62" s="43">
        <v>2690.4</v>
      </c>
      <c r="N62" t="str">
        <f t="shared" si="2"/>
        <v>California</v>
      </c>
      <c r="O62" t="str">
        <f t="shared" si="3"/>
        <v>Merced County</v>
      </c>
      <c r="P62">
        <f t="shared" si="4"/>
        <v>60</v>
      </c>
      <c r="R62" t="str" cm="1">
        <f t="array" ref="R62:S62">I62:J62</f>
        <v>California</v>
      </c>
      <c r="S62" t="str">
        <v>Merced County</v>
      </c>
      <c r="T62">
        <f t="shared" si="5"/>
        <v>2690.4</v>
      </c>
    </row>
    <row r="63" spans="1:20" x14ac:dyDescent="0.3">
      <c r="A63" s="22">
        <v>8</v>
      </c>
      <c r="B63" s="23">
        <v>23</v>
      </c>
      <c r="I63" t="s">
        <v>19</v>
      </c>
      <c r="J63" t="s">
        <v>392</v>
      </c>
      <c r="K63" s="23">
        <v>2</v>
      </c>
      <c r="L63" s="43">
        <v>28.4</v>
      </c>
      <c r="N63" t="str">
        <f t="shared" si="2"/>
        <v>California</v>
      </c>
      <c r="O63" t="str">
        <f t="shared" si="3"/>
        <v>Modoc County</v>
      </c>
      <c r="P63">
        <f t="shared" si="4"/>
        <v>2</v>
      </c>
      <c r="R63" t="str" cm="1">
        <f t="array" ref="R63:S63">I63:J63</f>
        <v>California</v>
      </c>
      <c r="S63" t="str">
        <v>Modoc County</v>
      </c>
      <c r="T63">
        <f t="shared" si="5"/>
        <v>28.4</v>
      </c>
    </row>
    <row r="64" spans="1:20" x14ac:dyDescent="0.3">
      <c r="A64" s="22">
        <v>9</v>
      </c>
      <c r="B64" s="23">
        <v>9</v>
      </c>
      <c r="I64" t="s">
        <v>19</v>
      </c>
      <c r="J64" t="s">
        <v>670</v>
      </c>
      <c r="K64" s="23">
        <v>4</v>
      </c>
      <c r="L64" s="43">
        <v>204.8</v>
      </c>
      <c r="N64" t="str">
        <f t="shared" si="2"/>
        <v>California</v>
      </c>
      <c r="O64" t="str">
        <f t="shared" si="3"/>
        <v>Mono County</v>
      </c>
      <c r="P64">
        <f t="shared" si="4"/>
        <v>4</v>
      </c>
      <c r="R64" t="str" cm="1">
        <f t="array" ref="R64:S64">I64:J64</f>
        <v>California</v>
      </c>
      <c r="S64" t="str">
        <v>Mono County</v>
      </c>
      <c r="T64">
        <f t="shared" si="5"/>
        <v>204.8</v>
      </c>
    </row>
    <row r="65" spans="1:20" x14ac:dyDescent="0.3">
      <c r="A65" s="22">
        <v>10</v>
      </c>
      <c r="B65" s="23">
        <v>8</v>
      </c>
      <c r="I65" t="s">
        <v>19</v>
      </c>
      <c r="J65" t="s">
        <v>802</v>
      </c>
      <c r="K65" s="23">
        <v>31</v>
      </c>
      <c r="L65" s="43">
        <v>1607.8999999999999</v>
      </c>
      <c r="N65" t="str">
        <f t="shared" si="2"/>
        <v>California</v>
      </c>
      <c r="O65" t="str">
        <f t="shared" si="3"/>
        <v>Monterey County</v>
      </c>
      <c r="P65">
        <f t="shared" si="4"/>
        <v>31</v>
      </c>
      <c r="R65" t="str" cm="1">
        <f t="array" ref="R65:S65">I65:J65</f>
        <v>California</v>
      </c>
      <c r="S65" t="str">
        <v>Monterey County</v>
      </c>
      <c r="T65">
        <f t="shared" si="5"/>
        <v>1607.8999999999999</v>
      </c>
    </row>
    <row r="66" spans="1:20" x14ac:dyDescent="0.3">
      <c r="A66" s="22">
        <v>11</v>
      </c>
      <c r="B66" s="23">
        <v>11</v>
      </c>
      <c r="I66" t="s">
        <v>19</v>
      </c>
      <c r="J66" t="s">
        <v>98</v>
      </c>
      <c r="K66" s="23">
        <v>88</v>
      </c>
      <c r="L66" s="43">
        <v>6444.9</v>
      </c>
      <c r="N66" t="str">
        <f t="shared" si="2"/>
        <v>California</v>
      </c>
      <c r="O66" t="str">
        <f t="shared" si="3"/>
        <v>Napa County</v>
      </c>
      <c r="P66">
        <f t="shared" si="4"/>
        <v>88</v>
      </c>
      <c r="R66" t="str" cm="1">
        <f t="array" ref="R66:S66">I66:J66</f>
        <v>California</v>
      </c>
      <c r="S66" t="str">
        <v>Napa County</v>
      </c>
      <c r="T66">
        <f t="shared" si="5"/>
        <v>6444.9</v>
      </c>
    </row>
    <row r="67" spans="1:20" x14ac:dyDescent="0.3">
      <c r="A67" s="22">
        <v>12</v>
      </c>
      <c r="B67" s="23">
        <v>4</v>
      </c>
      <c r="I67" t="s">
        <v>19</v>
      </c>
      <c r="J67" t="s">
        <v>49</v>
      </c>
      <c r="K67" s="23">
        <v>25</v>
      </c>
      <c r="L67" s="43">
        <v>1809.3</v>
      </c>
      <c r="N67" t="str">
        <f t="shared" si="2"/>
        <v>California</v>
      </c>
      <c r="O67" t="str">
        <f t="shared" si="3"/>
        <v>Nevada County</v>
      </c>
      <c r="P67">
        <f t="shared" si="4"/>
        <v>25</v>
      </c>
      <c r="R67" t="str" cm="1">
        <f t="array" ref="R67:S67">I67:J67</f>
        <v>California</v>
      </c>
      <c r="S67" t="str">
        <v>Nevada County</v>
      </c>
      <c r="T67">
        <f t="shared" si="5"/>
        <v>1809.3</v>
      </c>
    </row>
    <row r="68" spans="1:20" x14ac:dyDescent="0.3">
      <c r="A68" s="22">
        <v>13</v>
      </c>
      <c r="B68" s="23">
        <v>10</v>
      </c>
      <c r="I68" t="s">
        <v>19</v>
      </c>
      <c r="J68" t="s">
        <v>188</v>
      </c>
      <c r="K68" s="23">
        <v>178</v>
      </c>
      <c r="L68" s="43">
        <v>9680.399999999996</v>
      </c>
      <c r="N68" t="str">
        <f t="shared" si="2"/>
        <v>California</v>
      </c>
      <c r="O68" t="str">
        <f t="shared" si="3"/>
        <v>Orange County</v>
      </c>
      <c r="P68">
        <f t="shared" si="4"/>
        <v>178</v>
      </c>
      <c r="R68" t="str" cm="1">
        <f t="array" ref="R68:S68">I68:J68</f>
        <v>California</v>
      </c>
      <c r="S68" t="str">
        <v>Orange County</v>
      </c>
      <c r="T68">
        <f t="shared" si="5"/>
        <v>9680.399999999996</v>
      </c>
    </row>
    <row r="69" spans="1:20" x14ac:dyDescent="0.3">
      <c r="A69" s="22">
        <v>14</v>
      </c>
      <c r="B69" s="23">
        <v>13</v>
      </c>
      <c r="I69" t="s">
        <v>19</v>
      </c>
      <c r="J69" t="s">
        <v>52</v>
      </c>
      <c r="K69" s="23">
        <v>141</v>
      </c>
      <c r="L69" s="43">
        <v>9414.7999999999993</v>
      </c>
      <c r="N69" t="str">
        <f t="shared" si="2"/>
        <v>California</v>
      </c>
      <c r="O69" t="str">
        <f t="shared" si="3"/>
        <v>Placer County</v>
      </c>
      <c r="P69">
        <f t="shared" si="4"/>
        <v>141</v>
      </c>
      <c r="R69" t="str" cm="1">
        <f t="array" ref="R69:S69">I69:J69</f>
        <v>California</v>
      </c>
      <c r="S69" t="str">
        <v>Placer County</v>
      </c>
      <c r="T69">
        <f t="shared" si="5"/>
        <v>9414.7999999999993</v>
      </c>
    </row>
    <row r="70" spans="1:20" x14ac:dyDescent="0.3">
      <c r="A70" s="22" t="s">
        <v>2553</v>
      </c>
      <c r="B70" s="23">
        <v>2400</v>
      </c>
      <c r="I70" t="s">
        <v>19</v>
      </c>
      <c r="J70" t="s">
        <v>338</v>
      </c>
      <c r="K70" s="23">
        <v>6</v>
      </c>
      <c r="L70" s="43">
        <v>206.1</v>
      </c>
      <c r="N70" t="str">
        <f t="shared" si="2"/>
        <v>California</v>
      </c>
      <c r="O70" t="str">
        <f t="shared" si="3"/>
        <v>Plumas County</v>
      </c>
      <c r="P70">
        <f t="shared" si="4"/>
        <v>6</v>
      </c>
      <c r="R70" t="str" cm="1">
        <f t="array" ref="R70:S70">I70:J70</f>
        <v>California</v>
      </c>
      <c r="S70" t="str">
        <v>Plumas County</v>
      </c>
      <c r="T70">
        <f t="shared" si="5"/>
        <v>206.1</v>
      </c>
    </row>
    <row r="71" spans="1:20" x14ac:dyDescent="0.3">
      <c r="I71" t="s">
        <v>19</v>
      </c>
      <c r="J71" t="s">
        <v>158</v>
      </c>
      <c r="K71" s="23">
        <v>178</v>
      </c>
      <c r="L71" s="43">
        <v>7691.3</v>
      </c>
      <c r="N71" t="str">
        <f t="shared" si="2"/>
        <v>California</v>
      </c>
      <c r="O71" t="str">
        <f t="shared" si="3"/>
        <v>Riverside County</v>
      </c>
      <c r="P71">
        <f t="shared" si="4"/>
        <v>178</v>
      </c>
      <c r="R71" t="str" cm="1">
        <f t="array" ref="R71:S71">I71:J71</f>
        <v>California</v>
      </c>
      <c r="S71" t="str">
        <v>Riverside County</v>
      </c>
      <c r="T71">
        <f t="shared" si="5"/>
        <v>7691.3</v>
      </c>
    </row>
    <row r="72" spans="1:20" x14ac:dyDescent="0.3">
      <c r="I72" t="s">
        <v>19</v>
      </c>
      <c r="J72" t="s">
        <v>55</v>
      </c>
      <c r="K72" s="23">
        <v>699</v>
      </c>
      <c r="L72" s="43">
        <v>37784.900000000016</v>
      </c>
      <c r="N72" t="str">
        <f t="shared" si="2"/>
        <v>California</v>
      </c>
      <c r="O72" t="str">
        <f t="shared" si="3"/>
        <v>Sacramento County</v>
      </c>
      <c r="P72">
        <f t="shared" si="4"/>
        <v>699</v>
      </c>
      <c r="R72" t="str" cm="1">
        <f t="array" ref="R72:S72">I72:J72</f>
        <v>California</v>
      </c>
      <c r="S72" t="str">
        <v>Sacramento County</v>
      </c>
      <c r="T72">
        <f t="shared" si="5"/>
        <v>37784.900000000016</v>
      </c>
    </row>
    <row r="73" spans="1:20" x14ac:dyDescent="0.3">
      <c r="A73" s="12"/>
      <c r="B73" s="13"/>
      <c r="C73" s="14"/>
      <c r="I73" t="s">
        <v>19</v>
      </c>
      <c r="J73" t="s">
        <v>342</v>
      </c>
      <c r="K73" s="23">
        <v>23</v>
      </c>
      <c r="L73" s="43">
        <v>1129.7</v>
      </c>
      <c r="N73" t="str" cm="1">
        <f t="array" ref="N73:P73">I73:K73</f>
        <v>California</v>
      </c>
      <c r="O73" t="str">
        <v>San Benito County</v>
      </c>
      <c r="P73">
        <v>23</v>
      </c>
      <c r="R73" t="str" cm="1">
        <f t="array" ref="R73:S73">I73:J73</f>
        <v>California</v>
      </c>
      <c r="S73" t="str">
        <v>San Benito County</v>
      </c>
      <c r="T73">
        <f t="shared" si="5"/>
        <v>1129.7</v>
      </c>
    </row>
    <row r="74" spans="1:20" x14ac:dyDescent="0.3">
      <c r="A74" s="15"/>
      <c r="B74" s="16"/>
      <c r="C74" s="17"/>
      <c r="I74" t="s">
        <v>19</v>
      </c>
      <c r="J74" t="s">
        <v>59</v>
      </c>
      <c r="K74" s="23">
        <v>356</v>
      </c>
      <c r="L74" s="43">
        <v>20988.9</v>
      </c>
      <c r="N74" t="str" cm="1">
        <f t="array" ref="N74:P74">I74:K74</f>
        <v>California</v>
      </c>
      <c r="O74" t="str">
        <v>San Bernardino County</v>
      </c>
      <c r="P74">
        <v>356</v>
      </c>
      <c r="R74" t="str" cm="1">
        <f t="array" ref="R74:S74">I74:J74</f>
        <v>California</v>
      </c>
      <c r="S74" t="str">
        <v>San Bernardino County</v>
      </c>
      <c r="T74">
        <f t="shared" si="5"/>
        <v>20988.9</v>
      </c>
    </row>
    <row r="75" spans="1:20" x14ac:dyDescent="0.3">
      <c r="A75" s="15"/>
      <c r="B75" s="16"/>
      <c r="C75" s="17"/>
      <c r="I75" t="s">
        <v>19</v>
      </c>
      <c r="J75" t="s">
        <v>62</v>
      </c>
      <c r="K75" s="23">
        <v>1768</v>
      </c>
      <c r="L75" s="43">
        <v>98367.099999999977</v>
      </c>
      <c r="N75" t="str" cm="1">
        <f t="array" ref="N75:P75">I75:K75</f>
        <v>California</v>
      </c>
      <c r="O75" t="str">
        <v>San Diego County</v>
      </c>
      <c r="P75">
        <v>1768</v>
      </c>
      <c r="R75" t="str" cm="1">
        <f t="array" ref="R75:S75">I75:J75</f>
        <v>California</v>
      </c>
      <c r="S75" t="str">
        <v>San Diego County</v>
      </c>
      <c r="T75">
        <f t="shared" si="5"/>
        <v>98367.099999999977</v>
      </c>
    </row>
    <row r="76" spans="1:20" x14ac:dyDescent="0.3">
      <c r="A76" s="15"/>
      <c r="B76" s="16"/>
      <c r="C76" s="17"/>
      <c r="I76" t="s">
        <v>19</v>
      </c>
      <c r="J76" t="s">
        <v>103</v>
      </c>
      <c r="K76" s="23">
        <v>307</v>
      </c>
      <c r="L76" s="43">
        <v>21911.9</v>
      </c>
      <c r="N76" t="str" cm="1">
        <f t="array" ref="N76:P76">I76:K76</f>
        <v>California</v>
      </c>
      <c r="O76" t="str">
        <v>San Francisco</v>
      </c>
      <c r="P76">
        <v>307</v>
      </c>
      <c r="R76" t="str" cm="1">
        <f t="array" ref="R76:S76">I76:J76</f>
        <v>California</v>
      </c>
      <c r="S76" t="str">
        <v>San Francisco</v>
      </c>
      <c r="T76">
        <f t="shared" si="5"/>
        <v>21911.9</v>
      </c>
    </row>
    <row r="77" spans="1:20" x14ac:dyDescent="0.3">
      <c r="A77" s="15"/>
      <c r="B77" s="16"/>
      <c r="C77" s="17"/>
      <c r="I77" t="s">
        <v>19</v>
      </c>
      <c r="J77" t="s">
        <v>201</v>
      </c>
      <c r="K77" s="23">
        <v>117</v>
      </c>
      <c r="L77" s="43">
        <v>5441.2</v>
      </c>
      <c r="N77" t="str" cm="1">
        <f t="array" ref="N77:P77">I77:K77</f>
        <v>California</v>
      </c>
      <c r="O77" t="str">
        <v>San Joaquin County</v>
      </c>
      <c r="P77">
        <v>117</v>
      </c>
      <c r="R77" t="str" cm="1">
        <f t="array" ref="R77:S77">I77:J77</f>
        <v>California</v>
      </c>
      <c r="S77" t="str">
        <v>San Joaquin County</v>
      </c>
      <c r="T77">
        <f t="shared" si="5"/>
        <v>5441.2</v>
      </c>
    </row>
    <row r="78" spans="1:20" x14ac:dyDescent="0.3">
      <c r="A78" s="15"/>
      <c r="B78" s="16"/>
      <c r="C78" s="17"/>
      <c r="I78" t="s">
        <v>19</v>
      </c>
      <c r="J78" t="s">
        <v>429</v>
      </c>
      <c r="K78" s="23">
        <v>13</v>
      </c>
      <c r="L78" s="43">
        <v>392.8</v>
      </c>
      <c r="N78" t="str" cm="1">
        <f t="array" ref="N78:P78">I78:K78</f>
        <v>California</v>
      </c>
      <c r="O78" t="str">
        <v>San Luis Obispo County</v>
      </c>
      <c r="P78">
        <v>13</v>
      </c>
      <c r="R78" t="str" cm="1">
        <f t="array" ref="R78:S78">I78:J78</f>
        <v>California</v>
      </c>
      <c r="S78" t="str">
        <v>San Luis Obispo County</v>
      </c>
      <c r="T78">
        <f t="shared" si="5"/>
        <v>392.8</v>
      </c>
    </row>
    <row r="79" spans="1:20" x14ac:dyDescent="0.3">
      <c r="A79" s="15"/>
      <c r="B79" s="16"/>
      <c r="C79" s="17"/>
      <c r="I79" t="s">
        <v>19</v>
      </c>
      <c r="J79" t="s">
        <v>72</v>
      </c>
      <c r="K79" s="23">
        <v>364</v>
      </c>
      <c r="L79" s="43">
        <v>16172.000000000005</v>
      </c>
      <c r="N79" t="str" cm="1">
        <f t="array" ref="N79:P79">I79:K79</f>
        <v>California</v>
      </c>
      <c r="O79" t="str">
        <v>San Mateo County</v>
      </c>
      <c r="P79">
        <v>364</v>
      </c>
      <c r="R79" t="str" cm="1">
        <f t="array" ref="R79:S79">I79:J79</f>
        <v>California</v>
      </c>
      <c r="S79" t="str">
        <v>San Mateo County</v>
      </c>
      <c r="T79">
        <f t="shared" si="5"/>
        <v>16172.000000000005</v>
      </c>
    </row>
    <row r="80" spans="1:20" x14ac:dyDescent="0.3">
      <c r="A80" s="15"/>
      <c r="B80" s="16"/>
      <c r="C80" s="17"/>
      <c r="I80" t="s">
        <v>19</v>
      </c>
      <c r="J80" t="s">
        <v>74</v>
      </c>
      <c r="K80" s="23">
        <v>95</v>
      </c>
      <c r="L80" s="43">
        <v>4334.9999999999991</v>
      </c>
      <c r="N80" t="str" cm="1">
        <f t="array" ref="N80:P80">I80:K80</f>
        <v>California</v>
      </c>
      <c r="O80" t="str">
        <v>Santa Barbara County</v>
      </c>
      <c r="P80">
        <v>95</v>
      </c>
      <c r="R80" t="str" cm="1">
        <f t="array" ref="R80:S80">I80:J80</f>
        <v>California</v>
      </c>
      <c r="S80" t="str">
        <v>Santa Barbara County</v>
      </c>
      <c r="T80">
        <f t="shared" si="5"/>
        <v>4334.9999999999991</v>
      </c>
    </row>
    <row r="81" spans="1:20" x14ac:dyDescent="0.3">
      <c r="A81" s="15"/>
      <c r="B81" s="16"/>
      <c r="C81" s="17"/>
      <c r="I81" t="s">
        <v>19</v>
      </c>
      <c r="J81" t="s">
        <v>77</v>
      </c>
      <c r="K81" s="23">
        <v>737</v>
      </c>
      <c r="L81" s="43">
        <v>37449.000000000007</v>
      </c>
      <c r="N81" t="str" cm="1">
        <f t="array" ref="N81:P81">I81:K81</f>
        <v>California</v>
      </c>
      <c r="O81" t="str">
        <v>Santa Clara County</v>
      </c>
      <c r="P81">
        <v>737</v>
      </c>
      <c r="R81" t="str" cm="1">
        <f t="array" ref="R81:S81">I81:J81</f>
        <v>California</v>
      </c>
      <c r="S81" t="str">
        <v>Santa Clara County</v>
      </c>
      <c r="T81">
        <f t="shared" si="5"/>
        <v>37449.000000000007</v>
      </c>
    </row>
    <row r="82" spans="1:20" x14ac:dyDescent="0.3">
      <c r="A82" s="15"/>
      <c r="B82" s="16"/>
      <c r="C82" s="17"/>
      <c r="I82" t="s">
        <v>19</v>
      </c>
      <c r="J82" t="s">
        <v>309</v>
      </c>
      <c r="K82" s="23">
        <v>39</v>
      </c>
      <c r="L82" s="43">
        <v>2447.5</v>
      </c>
      <c r="N82" t="str" cm="1">
        <f t="array" ref="N82:P82">I82:K82</f>
        <v>California</v>
      </c>
      <c r="O82" t="str">
        <v>Santa Cruz County</v>
      </c>
      <c r="P82">
        <v>39</v>
      </c>
      <c r="R82" t="str" cm="1">
        <f t="array" ref="R82:S82">I82:J82</f>
        <v>California</v>
      </c>
      <c r="S82" t="str">
        <v>Santa Cruz County</v>
      </c>
      <c r="T82">
        <f t="shared" si="5"/>
        <v>2447.5</v>
      </c>
    </row>
    <row r="83" spans="1:20" x14ac:dyDescent="0.3">
      <c r="A83" s="15"/>
      <c r="B83" s="16"/>
      <c r="C83" s="17"/>
      <c r="I83" t="s">
        <v>19</v>
      </c>
      <c r="J83" t="s">
        <v>1116</v>
      </c>
      <c r="K83" s="23">
        <v>56</v>
      </c>
      <c r="L83" s="43">
        <v>3391.1</v>
      </c>
      <c r="N83" t="str" cm="1">
        <f t="array" ref="N83:P83">I83:K83</f>
        <v>California</v>
      </c>
      <c r="O83" t="str">
        <v>Shasta County</v>
      </c>
      <c r="P83">
        <v>56</v>
      </c>
      <c r="R83" t="str" cm="1">
        <f t="array" ref="R83:S83">I83:J83</f>
        <v>California</v>
      </c>
      <c r="S83" t="str">
        <v>Shasta County</v>
      </c>
      <c r="T83">
        <f t="shared" si="5"/>
        <v>3391.1</v>
      </c>
    </row>
    <row r="84" spans="1:20" x14ac:dyDescent="0.3">
      <c r="A84" s="15"/>
      <c r="B84" s="16"/>
      <c r="C84" s="17"/>
      <c r="I84" t="s">
        <v>19</v>
      </c>
      <c r="J84" t="s">
        <v>700</v>
      </c>
      <c r="K84" s="23">
        <v>2</v>
      </c>
      <c r="L84" s="43">
        <v>30.8</v>
      </c>
      <c r="N84" t="str" cm="1">
        <f t="array" ref="N84:P84">I84:K84</f>
        <v>California</v>
      </c>
      <c r="O84" t="str">
        <v>Sierra County</v>
      </c>
      <c r="P84">
        <v>2</v>
      </c>
      <c r="R84" t="str" cm="1">
        <f t="array" ref="R84:S84">I84:J84</f>
        <v>California</v>
      </c>
      <c r="S84" t="str">
        <v>Sierra County</v>
      </c>
      <c r="T84">
        <f t="shared" si="5"/>
        <v>30.8</v>
      </c>
    </row>
    <row r="85" spans="1:20" x14ac:dyDescent="0.3">
      <c r="A85" s="15"/>
      <c r="B85" s="16"/>
      <c r="C85" s="17"/>
      <c r="I85" t="s">
        <v>19</v>
      </c>
      <c r="J85" t="s">
        <v>268</v>
      </c>
      <c r="K85" s="23">
        <v>8</v>
      </c>
      <c r="L85" s="43">
        <v>332.3</v>
      </c>
      <c r="N85" t="str" cm="1">
        <f t="array" ref="N85:P85">I85:K85</f>
        <v>California</v>
      </c>
      <c r="O85" t="str">
        <v>Siskiyou County</v>
      </c>
      <c r="P85">
        <v>8</v>
      </c>
      <c r="R85" t="str" cm="1">
        <f t="array" ref="R85:S85">I85:J85</f>
        <v>California</v>
      </c>
      <c r="S85" t="str">
        <v>Siskiyou County</v>
      </c>
      <c r="T85">
        <f t="shared" si="5"/>
        <v>332.3</v>
      </c>
    </row>
    <row r="86" spans="1:20" x14ac:dyDescent="0.3">
      <c r="A86" s="15"/>
      <c r="B86" s="16"/>
      <c r="C86" s="17"/>
      <c r="I86" t="s">
        <v>19</v>
      </c>
      <c r="J86" t="s">
        <v>377</v>
      </c>
      <c r="K86" s="23">
        <v>52</v>
      </c>
      <c r="L86" s="43">
        <v>3175.9999999999995</v>
      </c>
      <c r="N86" t="str" cm="1">
        <f t="array" ref="N86:P86">I86:K86</f>
        <v>California</v>
      </c>
      <c r="O86" t="str">
        <v>Solano County</v>
      </c>
      <c r="P86">
        <v>52</v>
      </c>
      <c r="R86" t="str" cm="1">
        <f t="array" ref="R86:S86">I86:J86</f>
        <v>California</v>
      </c>
      <c r="S86" t="str">
        <v>Solano County</v>
      </c>
      <c r="T86">
        <f t="shared" si="5"/>
        <v>3175.9999999999995</v>
      </c>
    </row>
    <row r="87" spans="1:20" x14ac:dyDescent="0.3">
      <c r="A87" s="15"/>
      <c r="B87" s="16"/>
      <c r="C87" s="17"/>
      <c r="I87" t="s">
        <v>19</v>
      </c>
      <c r="J87" t="s">
        <v>108</v>
      </c>
      <c r="K87" s="23">
        <v>295</v>
      </c>
      <c r="L87" s="43">
        <v>20939.600000000002</v>
      </c>
      <c r="N87" t="str" cm="1">
        <f t="array" ref="N87:P87">I87:K87</f>
        <v>California</v>
      </c>
      <c r="O87" t="str">
        <v>Sonoma County</v>
      </c>
      <c r="P87">
        <v>295</v>
      </c>
      <c r="R87" t="str" cm="1">
        <f t="array" ref="R87:S87">I87:J87</f>
        <v>California</v>
      </c>
      <c r="S87" t="str">
        <v>Sonoma County</v>
      </c>
      <c r="T87">
        <f t="shared" si="5"/>
        <v>20939.600000000002</v>
      </c>
    </row>
    <row r="88" spans="1:20" x14ac:dyDescent="0.3">
      <c r="A88" s="15"/>
      <c r="B88" s="16"/>
      <c r="C88" s="17"/>
      <c r="I88" t="s">
        <v>19</v>
      </c>
      <c r="J88" t="s">
        <v>110</v>
      </c>
      <c r="K88" s="23">
        <v>195</v>
      </c>
      <c r="L88" s="43">
        <v>10185.899999999996</v>
      </c>
      <c r="N88" t="str" cm="1">
        <f t="array" ref="N88:P88">I88:K88</f>
        <v>California</v>
      </c>
      <c r="O88" t="str">
        <v>Stanislaus County</v>
      </c>
      <c r="P88">
        <v>195</v>
      </c>
      <c r="R88" t="str" cm="1">
        <f t="array" ref="R88:S88">I88:J88</f>
        <v>California</v>
      </c>
      <c r="S88" t="str">
        <v>Stanislaus County</v>
      </c>
      <c r="T88">
        <f t="shared" si="5"/>
        <v>10185.899999999996</v>
      </c>
    </row>
    <row r="89" spans="1:20" x14ac:dyDescent="0.3">
      <c r="A89" s="15"/>
      <c r="B89" s="16"/>
      <c r="C89" s="17"/>
      <c r="I89" t="s">
        <v>19</v>
      </c>
      <c r="J89" t="s">
        <v>292</v>
      </c>
      <c r="K89" s="23">
        <v>20</v>
      </c>
      <c r="L89" s="43">
        <v>958.7</v>
      </c>
      <c r="N89" t="str" cm="1">
        <f t="array" ref="N89:P89">I89:K89</f>
        <v>California</v>
      </c>
      <c r="O89" t="str">
        <v>Sutter County</v>
      </c>
      <c r="P89">
        <v>20</v>
      </c>
      <c r="R89" t="str" cm="1">
        <f t="array" ref="R89:S89">I89:J89</f>
        <v>California</v>
      </c>
      <c r="S89" t="str">
        <v>Sutter County</v>
      </c>
      <c r="T89">
        <f t="shared" si="5"/>
        <v>958.7</v>
      </c>
    </row>
    <row r="90" spans="1:20" x14ac:dyDescent="0.3">
      <c r="A90" s="18"/>
      <c r="B90" s="19"/>
      <c r="C90" s="20"/>
      <c r="I90" t="s">
        <v>19</v>
      </c>
      <c r="J90" t="s">
        <v>79</v>
      </c>
      <c r="K90" s="23">
        <v>6</v>
      </c>
      <c r="L90" s="43">
        <v>323</v>
      </c>
      <c r="N90" t="str" cm="1">
        <f t="array" ref="N90:P90">I90:K90</f>
        <v>California</v>
      </c>
      <c r="O90" t="str">
        <v>Tehama County</v>
      </c>
      <c r="P90">
        <v>6</v>
      </c>
      <c r="R90" t="str" cm="1">
        <f t="array" ref="R90:S90">I90:J90</f>
        <v>California</v>
      </c>
      <c r="S90" t="str">
        <v>Tehama County</v>
      </c>
      <c r="T90">
        <f t="shared" si="5"/>
        <v>323</v>
      </c>
    </row>
    <row r="91" spans="1:20" x14ac:dyDescent="0.3">
      <c r="I91" t="s">
        <v>19</v>
      </c>
      <c r="J91" t="s">
        <v>608</v>
      </c>
      <c r="K91" s="23">
        <v>5</v>
      </c>
      <c r="L91" s="43">
        <v>167.70000000000002</v>
      </c>
      <c r="N91" t="str" cm="1">
        <f t="array" ref="N91:P91">I91:K91</f>
        <v>California</v>
      </c>
      <c r="O91" t="str">
        <v>Trinity County</v>
      </c>
      <c r="P91">
        <v>5</v>
      </c>
      <c r="R91" t="str" cm="1">
        <f t="array" ref="R91:S91">I91:J91</f>
        <v>California</v>
      </c>
      <c r="S91" t="str">
        <v>Trinity County</v>
      </c>
      <c r="T91">
        <f t="shared" si="5"/>
        <v>167.70000000000002</v>
      </c>
    </row>
    <row r="92" spans="1:20" x14ac:dyDescent="0.3">
      <c r="I92" t="s">
        <v>19</v>
      </c>
      <c r="J92" t="s">
        <v>113</v>
      </c>
      <c r="K92" s="23">
        <v>94</v>
      </c>
      <c r="L92" s="43">
        <v>3978.5</v>
      </c>
      <c r="N92" t="str" cm="1">
        <f t="array" ref="N92:P92">I92:K92</f>
        <v>California</v>
      </c>
      <c r="O92" t="str">
        <v>Tulare County</v>
      </c>
      <c r="P92">
        <v>94</v>
      </c>
      <c r="R92" t="str" cm="1">
        <f t="array" ref="R92:S92">I92:J92</f>
        <v>California</v>
      </c>
      <c r="S92" t="str">
        <v>Tulare County</v>
      </c>
      <c r="T92">
        <f t="shared" si="5"/>
        <v>3978.5</v>
      </c>
    </row>
    <row r="93" spans="1:20" x14ac:dyDescent="0.3">
      <c r="I93" t="s">
        <v>19</v>
      </c>
      <c r="J93" t="s">
        <v>997</v>
      </c>
      <c r="K93" s="23">
        <v>28</v>
      </c>
      <c r="L93" s="43">
        <v>1405</v>
      </c>
      <c r="N93" t="str" cm="1">
        <f t="array" ref="N93:P93">I93:K93</f>
        <v>California</v>
      </c>
      <c r="O93" t="str">
        <v>Tuolumne County</v>
      </c>
      <c r="P93">
        <v>28</v>
      </c>
      <c r="R93" t="str" cm="1">
        <f t="array" ref="R93:S93">I93:J93</f>
        <v>California</v>
      </c>
      <c r="S93" t="str">
        <v>Tuolumne County</v>
      </c>
      <c r="T93">
        <f t="shared" si="5"/>
        <v>1405</v>
      </c>
    </row>
    <row r="94" spans="1:20" x14ac:dyDescent="0.3">
      <c r="I94" t="s">
        <v>19</v>
      </c>
      <c r="J94" t="s">
        <v>82</v>
      </c>
      <c r="K94" s="23">
        <v>179</v>
      </c>
      <c r="L94" s="43">
        <v>9869.0999999999985</v>
      </c>
      <c r="N94" t="str" cm="1">
        <f t="array" ref="N94:P94">I94:K94</f>
        <v>California</v>
      </c>
      <c r="O94" t="str">
        <v>Ventura County</v>
      </c>
      <c r="P94">
        <v>179</v>
      </c>
      <c r="R94" t="str" cm="1">
        <f t="array" ref="R94:S94">I94:J94</f>
        <v>California</v>
      </c>
      <c r="S94" t="str">
        <v>Ventura County</v>
      </c>
      <c r="T94">
        <f t="shared" si="5"/>
        <v>9869.0999999999985</v>
      </c>
    </row>
    <row r="95" spans="1:20" x14ac:dyDescent="0.3">
      <c r="I95" t="s">
        <v>19</v>
      </c>
      <c r="J95" t="s">
        <v>243</v>
      </c>
      <c r="K95" s="23">
        <v>15</v>
      </c>
      <c r="L95" s="43">
        <v>615.29999999999995</v>
      </c>
      <c r="N95" t="str" cm="1">
        <f t="array" ref="N95:P95">I95:K95</f>
        <v>California</v>
      </c>
      <c r="O95" t="str">
        <v>Yolo County</v>
      </c>
      <c r="P95">
        <v>15</v>
      </c>
      <c r="R95" t="str" cm="1">
        <f t="array" ref="R95:S95">I95:J95</f>
        <v>California</v>
      </c>
      <c r="S95" t="str">
        <v>Yolo County</v>
      </c>
      <c r="T95">
        <f t="shared" si="5"/>
        <v>615.29999999999995</v>
      </c>
    </row>
    <row r="96" spans="1:20" x14ac:dyDescent="0.3">
      <c r="I96" t="s">
        <v>19</v>
      </c>
      <c r="J96" t="s">
        <v>1911</v>
      </c>
      <c r="K96" s="23">
        <v>3</v>
      </c>
      <c r="L96" s="43">
        <v>285</v>
      </c>
      <c r="N96" t="str" cm="1">
        <f t="array" ref="N96:P96">I96:K96</f>
        <v>California</v>
      </c>
      <c r="O96" t="str">
        <v>Yuba County</v>
      </c>
      <c r="P96">
        <v>3</v>
      </c>
      <c r="R96" t="str" cm="1">
        <f t="array" ref="R96:S96">I96:J96</f>
        <v>California</v>
      </c>
      <c r="S96" t="str">
        <v>Yuba County</v>
      </c>
      <c r="T96">
        <f t="shared" si="5"/>
        <v>285</v>
      </c>
    </row>
  </sheetData>
  <mergeCells count="1">
    <mergeCell ref="G2:I2"/>
  </mergeCells>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370F3-447E-41F7-BB6B-DAD8007BB3FF}">
  <dimension ref="A1"/>
  <sheetViews>
    <sheetView showGridLines="0" tabSelected="1" zoomScale="65" zoomScaleNormal="65" workbookViewId="0">
      <selection activeCell="K81" sqref="K81"/>
    </sheetView>
  </sheetViews>
  <sheetFormatPr defaultRowHeight="14" x14ac:dyDescent="0.3"/>
  <cols>
    <col min="1" max="1" width="4.58203125" customWidth="1"/>
    <col min="2" max="2" width="17.9140625" customWidth="1"/>
    <col min="3" max="3" width="5.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F2E76-4970-4105-BB20-0F01E8BADFC4}">
  <dimension ref="A2:L21"/>
  <sheetViews>
    <sheetView showGridLines="0" topLeftCell="A4" workbookViewId="0">
      <selection activeCell="J16" sqref="J16"/>
    </sheetView>
  </sheetViews>
  <sheetFormatPr defaultRowHeight="14" x14ac:dyDescent="0.3"/>
  <cols>
    <col min="1" max="1" width="12.1640625" customWidth="1"/>
    <col min="2" max="2" width="14.25" customWidth="1"/>
    <col min="3" max="4" width="3.75" bestFit="1" customWidth="1"/>
    <col min="5" max="5" width="4.75" bestFit="1" customWidth="1"/>
    <col min="6" max="6" width="3.75" bestFit="1" customWidth="1"/>
    <col min="7" max="7" width="10" customWidth="1"/>
    <col min="8" max="8" width="10.08203125" customWidth="1"/>
    <col min="9" max="11" width="6.1640625" customWidth="1"/>
    <col min="12" max="12" width="7.1640625" customWidth="1"/>
    <col min="13" max="13" width="6.1640625" customWidth="1"/>
    <col min="14" max="32" width="6.08203125" bestFit="1" customWidth="1"/>
    <col min="33" max="60" width="6.1640625" bestFit="1" customWidth="1"/>
    <col min="61" max="89" width="6.33203125" bestFit="1" customWidth="1"/>
    <col min="90" max="90" width="10" bestFit="1" customWidth="1"/>
    <col min="91" max="91" width="8.1640625" bestFit="1" customWidth="1"/>
    <col min="92" max="92" width="10" bestFit="1" customWidth="1"/>
  </cols>
  <sheetData>
    <row r="2" spans="1:12" x14ac:dyDescent="0.3">
      <c r="B2" s="29"/>
      <c r="C2" s="29"/>
      <c r="D2" s="29"/>
      <c r="E2" s="29"/>
      <c r="F2" s="29"/>
      <c r="G2" s="29"/>
      <c r="H2" s="29"/>
      <c r="I2" s="29"/>
      <c r="J2" s="29"/>
      <c r="K2" s="29"/>
      <c r="L2" s="29"/>
    </row>
    <row r="3" spans="1:12" x14ac:dyDescent="0.3">
      <c r="A3" s="32" t="s">
        <v>2556</v>
      </c>
      <c r="B3" s="32" t="s">
        <v>2563</v>
      </c>
      <c r="C3" s="29"/>
      <c r="D3" s="29"/>
      <c r="E3" s="29"/>
      <c r="F3" s="29"/>
      <c r="G3" s="29"/>
      <c r="H3" s="29"/>
      <c r="I3" s="29"/>
      <c r="J3" s="29"/>
      <c r="K3" s="29"/>
      <c r="L3" s="29"/>
    </row>
    <row r="4" spans="1:12" ht="15" customHeight="1" thickBot="1" x14ac:dyDescent="0.35">
      <c r="A4" s="32" t="s">
        <v>2552</v>
      </c>
      <c r="B4" s="29" t="s">
        <v>2564</v>
      </c>
      <c r="C4" s="29" t="s">
        <v>2565</v>
      </c>
      <c r="D4" s="29" t="s">
        <v>2566</v>
      </c>
      <c r="E4" s="29" t="s">
        <v>2567</v>
      </c>
      <c r="F4" s="29" t="s">
        <v>2553</v>
      </c>
      <c r="G4" s="29"/>
      <c r="H4" s="33"/>
      <c r="I4" s="34" t="str">
        <f>B4</f>
        <v>Female</v>
      </c>
      <c r="J4" s="34" t="str">
        <f t="shared" ref="J4:L4" si="0">C4</f>
        <v>Male</v>
      </c>
      <c r="K4" s="34" t="str">
        <f t="shared" si="0"/>
        <v>Other</v>
      </c>
      <c r="L4" s="35" t="str">
        <f t="shared" si="0"/>
        <v>Unknown</v>
      </c>
    </row>
    <row r="5" spans="1:12" ht="23.5" customHeight="1" thickTop="1" thickBot="1" x14ac:dyDescent="0.35">
      <c r="A5" s="27" t="s">
        <v>18</v>
      </c>
      <c r="B5" s="28">
        <v>0.18961825201634841</v>
      </c>
      <c r="C5" s="28">
        <v>0.12262322351336576</v>
      </c>
      <c r="D5" s="28">
        <v>1.060537752469185E-2</v>
      </c>
      <c r="E5" s="28">
        <v>3.0599220547662797E-2</v>
      </c>
      <c r="F5" s="28">
        <v>0.35344607360206881</v>
      </c>
      <c r="G5" s="27"/>
      <c r="H5" s="39" t="str" cm="1">
        <f t="array" ref="H5:L5">A5:E5</f>
        <v>App</v>
      </c>
      <c r="I5" s="40">
        <v>0.18961825201634841</v>
      </c>
      <c r="J5" s="40">
        <v>0.12262322351336576</v>
      </c>
      <c r="K5" s="40">
        <v>1.060537752469185E-2</v>
      </c>
      <c r="L5" s="41">
        <v>3.0599220547662797E-2</v>
      </c>
    </row>
    <row r="6" spans="1:12" ht="26.5" customHeight="1" thickTop="1" thickBot="1" x14ac:dyDescent="0.35">
      <c r="A6" s="27" t="s">
        <v>51</v>
      </c>
      <c r="B6" s="28">
        <v>5.0283982091147303E-2</v>
      </c>
      <c r="C6" s="28">
        <v>4.3060781812819873E-2</v>
      </c>
      <c r="D6" s="28">
        <v>1.5320025675641944E-3</v>
      </c>
      <c r="E6" s="28">
        <v>1.7794988689097006E-2</v>
      </c>
      <c r="F6" s="28">
        <v>0.11267175516062837</v>
      </c>
      <c r="G6" s="27"/>
      <c r="H6" s="42" t="str" cm="1">
        <f t="array" ref="H6:L6">A6:E6</f>
        <v>Instagram</v>
      </c>
      <c r="I6" s="40">
        <v>5.0283982091147303E-2</v>
      </c>
      <c r="J6" s="40">
        <v>4.3060781812819873E-2</v>
      </c>
      <c r="K6" s="40">
        <v>1.5320025675641944E-3</v>
      </c>
      <c r="L6" s="41">
        <v>1.7794988689097006E-2</v>
      </c>
    </row>
    <row r="7" spans="1:12" ht="25" customHeight="1" thickTop="1" thickBot="1" x14ac:dyDescent="0.35">
      <c r="A7" s="27" t="s">
        <v>70</v>
      </c>
      <c r="B7" s="28">
        <v>6.3496059750411282E-2</v>
      </c>
      <c r="C7" s="28">
        <v>4.6071629863988765E-2</v>
      </c>
      <c r="D7" s="28">
        <v>2.306247051322625E-3</v>
      </c>
      <c r="E7" s="28">
        <v>3.8927934093844286E-3</v>
      </c>
      <c r="F7" s="28">
        <v>0.11576673007510711</v>
      </c>
      <c r="G7" s="27"/>
      <c r="H7" s="42" t="str" cm="1">
        <f t="array" ref="H7:L7">A7:E7</f>
        <v>Partner App</v>
      </c>
      <c r="I7" s="40">
        <v>6.3496059750411282E-2</v>
      </c>
      <c r="J7" s="40">
        <v>4.6071629863988765E-2</v>
      </c>
      <c r="K7" s="40">
        <v>2.306247051322625E-3</v>
      </c>
      <c r="L7" s="41">
        <v>3.8927934093844286E-3</v>
      </c>
    </row>
    <row r="8" spans="1:12" ht="23.5" customHeight="1" thickTop="1" thickBot="1" x14ac:dyDescent="0.35">
      <c r="A8" s="27" t="s">
        <v>40</v>
      </c>
      <c r="B8" s="28">
        <v>9.6337892927149532E-2</v>
      </c>
      <c r="C8" s="28">
        <v>6.7920115842382611E-2</v>
      </c>
      <c r="D8" s="28">
        <v>5.4979832664581261E-3</v>
      </c>
      <c r="E8" s="28">
        <v>1.2933041488102518E-2</v>
      </c>
      <c r="F8" s="28">
        <v>0.1826890335240928</v>
      </c>
      <c r="G8" s="27"/>
      <c r="H8" s="42" t="str" cm="1">
        <f t="array" ref="H8:L8">A8:E8</f>
        <v>Target.com</v>
      </c>
      <c r="I8" s="40">
        <v>9.6337892927149532E-2</v>
      </c>
      <c r="J8" s="40">
        <v>6.7920115842382611E-2</v>
      </c>
      <c r="K8" s="40">
        <v>5.4979832664581261E-3</v>
      </c>
      <c r="L8" s="41">
        <v>1.2933041488102518E-2</v>
      </c>
    </row>
    <row r="9" spans="1:12" ht="24.5" customHeight="1" thickTop="1" x14ac:dyDescent="0.3">
      <c r="A9" s="29" t="s">
        <v>35</v>
      </c>
      <c r="B9" s="30">
        <v>0.12522098709469262</v>
      </c>
      <c r="C9" s="30">
        <v>9.1492740283116228E-2</v>
      </c>
      <c r="D9" s="30">
        <v>6.3042760790965081E-3</v>
      </c>
      <c r="E9" s="30">
        <v>1.2408404181197551E-2</v>
      </c>
      <c r="F9" s="30">
        <v>0.23542640763810288</v>
      </c>
      <c r="G9" s="29"/>
      <c r="H9" s="36" t="str" cm="1">
        <f t="array" ref="H9:L9">A9:E9</f>
        <v>Website</v>
      </c>
      <c r="I9" s="37">
        <v>0.12522098709469262</v>
      </c>
      <c r="J9" s="37">
        <v>9.1492740283116228E-2</v>
      </c>
      <c r="K9" s="37">
        <v>6.3042760790965081E-3</v>
      </c>
      <c r="L9" s="38">
        <v>1.2408404181197551E-2</v>
      </c>
    </row>
    <row r="10" spans="1:12" ht="26" customHeight="1" x14ac:dyDescent="0.3">
      <c r="A10" s="29" t="s">
        <v>2553</v>
      </c>
      <c r="B10" s="30">
        <v>0.52495717387974916</v>
      </c>
      <c r="C10" s="30">
        <v>0.3711684913156732</v>
      </c>
      <c r="D10" s="30">
        <v>2.6245886489133303E-2</v>
      </c>
      <c r="E10" s="30">
        <v>7.7628448315444312E-2</v>
      </c>
      <c r="F10" s="30">
        <v>1</v>
      </c>
      <c r="G10" s="31"/>
      <c r="H10" s="31"/>
      <c r="I10" s="31"/>
      <c r="J10" s="31"/>
      <c r="K10" s="31"/>
      <c r="L10" s="31"/>
    </row>
    <row r="13" spans="1:12" x14ac:dyDescent="0.3">
      <c r="A13" s="22"/>
    </row>
    <row r="16" spans="1:12" x14ac:dyDescent="0.3">
      <c r="A16" s="21" t="s">
        <v>2554</v>
      </c>
      <c r="B16" s="21" t="s">
        <v>2563</v>
      </c>
    </row>
    <row r="17" spans="1:7" x14ac:dyDescent="0.3">
      <c r="A17" s="21" t="s">
        <v>2552</v>
      </c>
      <c r="B17">
        <v>1</v>
      </c>
      <c r="C17">
        <v>2</v>
      </c>
      <c r="D17">
        <v>3</v>
      </c>
      <c r="E17">
        <v>4</v>
      </c>
      <c r="F17">
        <v>5</v>
      </c>
      <c r="G17" t="s">
        <v>2553</v>
      </c>
    </row>
    <row r="18" spans="1:7" x14ac:dyDescent="0.3">
      <c r="A18" s="22" t="s">
        <v>2582</v>
      </c>
      <c r="B18" s="23">
        <v>7</v>
      </c>
      <c r="C18" s="23">
        <v>37</v>
      </c>
      <c r="D18" s="23">
        <v>150</v>
      </c>
      <c r="E18" s="23">
        <v>312</v>
      </c>
      <c r="F18" s="23">
        <v>224</v>
      </c>
      <c r="G18" s="23">
        <v>730</v>
      </c>
    </row>
    <row r="19" spans="1:7" x14ac:dyDescent="0.3">
      <c r="A19" s="22" t="s">
        <v>2583</v>
      </c>
      <c r="B19" s="23">
        <v>8</v>
      </c>
      <c r="C19" s="23">
        <v>51</v>
      </c>
      <c r="D19" s="23">
        <v>182</v>
      </c>
      <c r="E19" s="23">
        <v>373</v>
      </c>
      <c r="F19" s="23">
        <v>247</v>
      </c>
      <c r="G19" s="23">
        <v>861</v>
      </c>
    </row>
    <row r="20" spans="1:7" x14ac:dyDescent="0.3">
      <c r="A20" s="22" t="s">
        <v>2584</v>
      </c>
      <c r="B20" s="23">
        <v>6</v>
      </c>
      <c r="C20" s="23">
        <v>39</v>
      </c>
      <c r="D20" s="23">
        <v>163</v>
      </c>
      <c r="E20" s="23">
        <v>351</v>
      </c>
      <c r="F20" s="23">
        <v>250</v>
      </c>
      <c r="G20" s="23">
        <v>809</v>
      </c>
    </row>
    <row r="21" spans="1:7" x14ac:dyDescent="0.3">
      <c r="A21" s="22" t="s">
        <v>2553</v>
      </c>
      <c r="B21" s="23">
        <v>21</v>
      </c>
      <c r="C21" s="23">
        <v>127</v>
      </c>
      <c r="D21" s="23">
        <v>495</v>
      </c>
      <c r="E21" s="23">
        <v>1036</v>
      </c>
      <c r="F21" s="23">
        <v>721</v>
      </c>
      <c r="G21" s="23">
        <v>2400</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topLeftCell="B1" workbookViewId="0">
      <selection activeCell="G26" sqref="G26"/>
    </sheetView>
  </sheetViews>
  <sheetFormatPr defaultRowHeight="14" x14ac:dyDescent="0.3"/>
  <cols>
    <col min="1" max="1" width="3.6640625" customWidth="1"/>
    <col min="2" max="2" width="52.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2:H24"/>
  <sheetViews>
    <sheetView workbookViewId="0">
      <selection activeCell="N7" sqref="N7"/>
    </sheetView>
  </sheetViews>
  <sheetFormatPr defaultRowHeight="14" x14ac:dyDescent="0.3"/>
  <cols>
    <col min="1" max="1" width="3.33203125" customWidth="1"/>
    <col min="8" max="8" width="37.4140625" customWidth="1"/>
  </cols>
  <sheetData>
    <row r="2" spans="2:8" x14ac:dyDescent="0.3">
      <c r="H2" t="s">
        <v>2548</v>
      </c>
    </row>
    <row r="3" spans="2:8" x14ac:dyDescent="0.3">
      <c r="B3" t="s">
        <v>2518</v>
      </c>
    </row>
    <row r="4" spans="2:8" x14ac:dyDescent="0.3">
      <c r="H4" s="11" t="s">
        <v>2549</v>
      </c>
    </row>
    <row r="5" spans="2:8" x14ac:dyDescent="0.3">
      <c r="B5" t="s">
        <v>2519</v>
      </c>
      <c r="H5" s="11" t="s">
        <v>2550</v>
      </c>
    </row>
    <row r="6" spans="2:8" x14ac:dyDescent="0.3">
      <c r="B6" s="5"/>
      <c r="C6" t="s">
        <v>2520</v>
      </c>
      <c r="D6" t="s">
        <v>2526</v>
      </c>
      <c r="H6" t="s">
        <v>2551</v>
      </c>
    </row>
    <row r="7" spans="2:8" x14ac:dyDescent="0.3">
      <c r="B7" s="6"/>
      <c r="C7" t="s">
        <v>2521</v>
      </c>
      <c r="D7" t="s">
        <v>2527</v>
      </c>
    </row>
    <row r="8" spans="2:8" x14ac:dyDescent="0.3">
      <c r="B8" s="7"/>
      <c r="C8" t="s">
        <v>2522</v>
      </c>
      <c r="D8" t="s">
        <v>2528</v>
      </c>
    </row>
    <row r="9" spans="2:8" x14ac:dyDescent="0.3">
      <c r="B9" s="8"/>
      <c r="C9" t="s">
        <v>2523</v>
      </c>
      <c r="D9" t="s">
        <v>2529</v>
      </c>
    </row>
    <row r="10" spans="2:8" x14ac:dyDescent="0.3">
      <c r="B10" s="9"/>
      <c r="C10" t="s">
        <v>2524</v>
      </c>
      <c r="D10" t="s">
        <v>2530</v>
      </c>
    </row>
    <row r="11" spans="2:8" x14ac:dyDescent="0.3">
      <c r="B11" s="2"/>
      <c r="C11" t="s">
        <v>2525</v>
      </c>
      <c r="D11" t="s">
        <v>2531</v>
      </c>
    </row>
    <row r="13" spans="2:8" x14ac:dyDescent="0.3">
      <c r="B13" t="s">
        <v>2532</v>
      </c>
    </row>
    <row r="14" spans="2:8" x14ac:dyDescent="0.3">
      <c r="B14" t="s">
        <v>2533</v>
      </c>
      <c r="C14" t="s">
        <v>2538</v>
      </c>
    </row>
    <row r="15" spans="2:8" x14ac:dyDescent="0.3">
      <c r="B15" t="s">
        <v>2534</v>
      </c>
      <c r="C15" t="s">
        <v>2</v>
      </c>
    </row>
    <row r="16" spans="2:8" x14ac:dyDescent="0.3">
      <c r="B16" t="s">
        <v>2535</v>
      </c>
      <c r="C16" t="s">
        <v>4</v>
      </c>
    </row>
    <row r="17" spans="2:3" x14ac:dyDescent="0.3">
      <c r="B17" t="s">
        <v>2536</v>
      </c>
      <c r="C17" t="s">
        <v>2539</v>
      </c>
    </row>
    <row r="18" spans="2:3" x14ac:dyDescent="0.3">
      <c r="B18" t="s">
        <v>2537</v>
      </c>
      <c r="C18" t="s">
        <v>2540</v>
      </c>
    </row>
    <row r="21" spans="2:3" x14ac:dyDescent="0.3">
      <c r="B21" t="s">
        <v>2541</v>
      </c>
    </row>
    <row r="22" spans="2:3" x14ac:dyDescent="0.3">
      <c r="B22" t="s">
        <v>2542</v>
      </c>
      <c r="C22" t="s">
        <v>2543</v>
      </c>
    </row>
    <row r="23" spans="2:3" x14ac:dyDescent="0.3">
      <c r="B23" t="s">
        <v>2544</v>
      </c>
      <c r="C23" t="s">
        <v>2545</v>
      </c>
    </row>
    <row r="24" spans="2:3" x14ac:dyDescent="0.3">
      <c r="B24" s="10" t="s">
        <v>2546</v>
      </c>
      <c r="C24" t="s">
        <v>2547</v>
      </c>
    </row>
  </sheetData>
  <phoneticPr fontId="2" type="noConversion"/>
  <hyperlinks>
    <hyperlink ref="H4" r:id="rId1" xr:uid="{A77862B0-B580-43DF-9272-7B32B5A35427}"/>
    <hyperlink ref="H5" r:id="rId2" xr:uid="{602AE8E3-2587-4F74-A241-C4690768D1EC}"/>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pivot table</vt:lpstr>
      <vt:lpstr>dashboard</vt:lpstr>
      <vt:lpstr>pivot</vt:lpstr>
      <vt:lpstr>Questions &amp; KPIs</vt:lpstr>
      <vt:lpstr>Logo &amp; Colors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Ogwogho Omoze</cp:lastModifiedBy>
  <dcterms:created xsi:type="dcterms:W3CDTF">2025-06-13T02:42:26Z</dcterms:created>
  <dcterms:modified xsi:type="dcterms:W3CDTF">2026-08-17T23:59:03Z</dcterms:modified>
</cp:coreProperties>
</file>